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yndrylde-my.sharepoint.com/personal/paola_iannetti_kyndryl_com/Documents/Documents/MyReferenceLibrary/IT Operational Procedures/"/>
    </mc:Choice>
  </mc:AlternateContent>
  <xr:revisionPtr revIDLastSave="96" documentId="11_AB55490F037F7367BB36113C8DABDE99EAE4A15E" xr6:coauthVersionLast="47" xr6:coauthVersionMax="47" xr10:uidLastSave="{21DE07DE-EDF7-4B7B-A99A-974F35A31140}"/>
  <bookViews>
    <workbookView xWindow="-120" yWindow="-120" windowWidth="25840" windowHeight="15533" activeTab="2" xr2:uid="{00000000-000D-0000-FFFF-FFFF00000000}"/>
  </bookViews>
  <sheets>
    <sheet name="LEGENDA" sheetId="1" r:id="rId1"/>
    <sheet name="MAPPA COMPLETAMENTO" sheetId="5" r:id="rId2"/>
    <sheet name="INDICE DOCUMENTALE" sheetId="2" r:id="rId3"/>
    <sheet name="MAPPATURA FONTI" sheetId="3" r:id="rId4"/>
    <sheet name="STATISTICHE" sheetId="4" r:id="rId5"/>
  </sheets>
  <definedNames>
    <definedName name="_xlnm._FilterDatabase" localSheetId="2" hidden="1">'INDICE DOCUMENTALE'!$A$1:$K$138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2" i="2"/>
</calcChain>
</file>

<file path=xl/sharedStrings.xml><?xml version="1.0" encoding="utf-8"?>
<sst xmlns="http://schemas.openxmlformats.org/spreadsheetml/2006/main" count="1612" uniqueCount="970">
  <si>
    <t>LEGENDA E GUIDA ALLA LETTURA</t>
  </si>
  <si>
    <t>1. GERARCHIA DELLE TIPOLOGIE DOCUMENTALI</t>
  </si>
  <si>
    <t>Livello</t>
  </si>
  <si>
    <t>Tipologia</t>
  </si>
  <si>
    <t>Descrizione</t>
  </si>
  <si>
    <t>Approvazione</t>
  </si>
  <si>
    <t>1</t>
  </si>
  <si>
    <t>Policy (POL)</t>
  </si>
  <si>
    <t>Documento di indirizzo strategico che definisce principi, obiettivi e responsabilità ad alto livello. Stabilisce il 'cosa' e il 'perché'.</t>
  </si>
  <si>
    <t>Direzione/Organi Apicali</t>
  </si>
  <si>
    <t>2</t>
  </si>
  <si>
    <t>Processo (PRC)</t>
  </si>
  <si>
    <t>Descrizione delle attività interconnesse che trasformano input in output. Definisce il flusso logico e le responsabilità macro.</t>
  </si>
  <si>
    <t>Direzione/CISO</t>
  </si>
  <si>
    <t>3</t>
  </si>
  <si>
    <t>Procedura (PRO)</t>
  </si>
  <si>
    <t>Documento che specifica 'chi fa cosa, quando e come'. Dettaglia le modalità operative di attuazione di un processo.</t>
  </si>
  <si>
    <t>CISO/Responsabili di Area</t>
  </si>
  <si>
    <t>4</t>
  </si>
  <si>
    <t>Linea Guida (LG)</t>
  </si>
  <si>
    <t>Raccomandazioni e best practice non vincolanti che orientano le scelte tecniche e operative.</t>
  </si>
  <si>
    <t>CISO/Comitato Sicurezza</t>
  </si>
  <si>
    <t>5</t>
  </si>
  <si>
    <t>Istruzione Operativa (IO)</t>
  </si>
  <si>
    <t>Istruzioni dettagliate step-by-step per l'esecuzione di attività specifiche e ripetibili.</t>
  </si>
  <si>
    <t>Responsabile Operativo</t>
  </si>
  <si>
    <t>6</t>
  </si>
  <si>
    <t>Raccolta organizzata di istruzioni operative e specifiche tecniche per un sistema o servizio.</t>
  </si>
  <si>
    <t>Responsabile Tecnico</t>
  </si>
  <si>
    <t>7</t>
  </si>
  <si>
    <t>Playbook (PLB)</t>
  </si>
  <si>
    <t>Documento operativo per la gestione di scenari specifici (es. incident response) con azioni predefinite.</t>
  </si>
  <si>
    <t>SOC Manager/CSIRT</t>
  </si>
  <si>
    <t>8</t>
  </si>
  <si>
    <t>Piano (PIA)</t>
  </si>
  <si>
    <t>Documento che descrive obiettivi, attività, risorse e tempistiche per raggiungere un risultato specifico.</t>
  </si>
  <si>
    <t>CISO/PM</t>
  </si>
  <si>
    <t>9</t>
  </si>
  <si>
    <t>Registro (REG)</t>
  </si>
  <si>
    <t>Raccolta strutturata di informazioni da mantenere aggiornate (es. asset, rischi, incidenti).</t>
  </si>
  <si>
    <t>Asset Owner/CISO</t>
  </si>
  <si>
    <t>10</t>
  </si>
  <si>
    <t>Report (REP)</t>
  </si>
  <si>
    <t>Documento che presenta risultati di analisi, audit, test o valutazioni.</t>
  </si>
  <si>
    <t>Funzione competente</t>
  </si>
  <si>
    <t>2. ABBREVIAZIONI FONTI NORMATIVE E STANDARD</t>
  </si>
  <si>
    <t>Abbreviazione</t>
  </si>
  <si>
    <t>Fonte Completa</t>
  </si>
  <si>
    <t>Ambito</t>
  </si>
  <si>
    <t>Cogenza per PA</t>
  </si>
  <si>
    <t>NIS2</t>
  </si>
  <si>
    <t>Direttiva (UE) 2022/2555 - D.Lgs. 138/2024</t>
  </si>
  <si>
    <t>Sicurezza reti e sistemi informativi</t>
  </si>
  <si>
    <t>Obbligatorio per soggetti essenziali/importanti</t>
  </si>
  <si>
    <t>ACN-DET</t>
  </si>
  <si>
    <t>Determinazioni ACN (379907/2025, 164179/2025)</t>
  </si>
  <si>
    <t>Misure sicurezza base e incidenti</t>
  </si>
  <si>
    <t>Obbligatorio per soggetti NIS</t>
  </si>
  <si>
    <t>L90/2024</t>
  </si>
  <si>
    <t>Legge 28 giugno 2024, n. 90</t>
  </si>
  <si>
    <t>Rafforzamento cybersicurezza nazionale</t>
  </si>
  <si>
    <t>Obbligatorio per PA e soggetti strategici</t>
  </si>
  <si>
    <t>FNCS</t>
  </si>
  <si>
    <t>Framework Nazionale Cybersecurity e Data Protection v2.1 (2025)</t>
  </si>
  <si>
    <t>Gestione rischio cyber</t>
  </si>
  <si>
    <t>Riferimento tecnico nazionale</t>
  </si>
  <si>
    <t>ISO27001</t>
  </si>
  <si>
    <t>ISO/IEC 27001:2022</t>
  </si>
  <si>
    <t>Sistema Gestione Sicurezza Informazioni</t>
  </si>
  <si>
    <t>Volontario (best practice)</t>
  </si>
  <si>
    <t>ISO27002</t>
  </si>
  <si>
    <t>ISO/IEC 27002:2022</t>
  </si>
  <si>
    <t>Controlli sicurezza informazioni</t>
  </si>
  <si>
    <t>NIST</t>
  </si>
  <si>
    <t>NIST Cybersecurity Framework 2.0</t>
  </si>
  <si>
    <t>Gestione rischio cybersecurity</t>
  </si>
  <si>
    <t>CIS</t>
  </si>
  <si>
    <t>CIS Critical Security Controls v8</t>
  </si>
  <si>
    <t>Controlli prioritari sicurezza</t>
  </si>
  <si>
    <t>AgID-MM</t>
  </si>
  <si>
    <t>Circolare AgID 2/2017 - Misure Minime</t>
  </si>
  <si>
    <t>Sicurezza ICT per PA</t>
  </si>
  <si>
    <t>Obbligatorio per tutte le PA</t>
  </si>
  <si>
    <t>GDPR</t>
  </si>
  <si>
    <t>Regolamento (UE) 2016/679</t>
  </si>
  <si>
    <t>Protezione dati personali</t>
  </si>
  <si>
    <t>Obbligatorio</t>
  </si>
  <si>
    <t>CAD</t>
  </si>
  <si>
    <t>D.Lgs. 82/2005 - Codice Amministrazione Digitale</t>
  </si>
  <si>
    <t>Digitalizzazione PA</t>
  </si>
  <si>
    <t>Obbligatorio per PA</t>
  </si>
  <si>
    <t>PSNC</t>
  </si>
  <si>
    <t>DL 105/2019 - Perimetro Sicurezza Nazionale</t>
  </si>
  <si>
    <t>Infrastrutture critiche nazionali</t>
  </si>
  <si>
    <t>Obbligatorio per soggetti PSNC</t>
  </si>
  <si>
    <t>3. FUNZIONI DEL FRAMEWORK NAZIONALE (FNCS 2025 / NIST CSF 2.0)</t>
  </si>
  <si>
    <t>Codice</t>
  </si>
  <si>
    <t>Funzione</t>
  </si>
  <si>
    <t>Focus</t>
  </si>
  <si>
    <t>GV</t>
  </si>
  <si>
    <t>GOVERN (Governare)</t>
  </si>
  <si>
    <t>Stabilisce la strategia, le aspettative e le politiche di gestione del rischio cyber</t>
  </si>
  <si>
    <t>Governance, ruoli, policy, supervisione</t>
  </si>
  <si>
    <t>ID</t>
  </si>
  <si>
    <t>IDENTIFY (Identificare)</t>
  </si>
  <si>
    <t>Comprensione del contesto organizzativo e degli asset da proteggere</t>
  </si>
  <si>
    <t>Asset, rischi, supply chain, dati</t>
  </si>
  <si>
    <t>PR</t>
  </si>
  <si>
    <t>PROTECT (Proteggere)</t>
  </si>
  <si>
    <t>Implementazione di misure di salvaguardia per i servizi critici</t>
  </si>
  <si>
    <t>Controllo accessi, awareness, sicurezza dati</t>
  </si>
  <si>
    <t>DE</t>
  </si>
  <si>
    <t>DETECT (Rilevare)</t>
  </si>
  <si>
    <t>Identificazione tempestiva degli eventi di sicurezza</t>
  </si>
  <si>
    <t>Monitoraggio, anomalie, eventi</t>
  </si>
  <si>
    <t>RS</t>
  </si>
  <si>
    <t>RESPOND (Rispondere)</t>
  </si>
  <si>
    <t>Azioni in risposta ad un incidente di sicurezza rilevato</t>
  </si>
  <si>
    <t>Gestione incidenti, comunicazione, mitigazione</t>
  </si>
  <si>
    <t>RC</t>
  </si>
  <si>
    <t>RECOVER (Ripristinare)</t>
  </si>
  <si>
    <t>Ripristino delle capacità e servizi compromessi</t>
  </si>
  <si>
    <t>Recovery planning, miglioramento, comunicazione</t>
  </si>
  <si>
    <t>4. GUIDA ALLA LETTURA DELL'INDICE</t>
  </si>
  <si>
    <t>• PROCESSO: Area tematica di riferimento (es. Gestione del Rischio, Incident Management)</t>
  </si>
  <si>
    <t>• COD.DOC: Codice identificativo suggerito per il documento</t>
  </si>
  <si>
    <t>• TITOLO DOCUMENTO: Nome descrittivo del documento</t>
  </si>
  <si>
    <t>• TIPOLOGIA: Classificazione secondo la gerarchia documentale (POL, PRC, PRO, IO, etc.)</t>
  </si>
  <si>
    <t>• FUNZIONE FNCS: Funzione del Framework Nazionale di riferimento (GV, ID, PR, DE, RS, RC)</t>
  </si>
  <si>
    <t>• REQUISITI: Riferimenti ai controlli e requisiti normativi che richiedono il documento</t>
  </si>
  <si>
    <t>• PRIORITÀ: Alta (obbligatorio/critico), Media (raccomandato), Bassa (best practice)</t>
  </si>
  <si>
    <t>• NOTE: Indicazioni aggiuntive su contenuti, relazioni con altri documenti, specificità</t>
  </si>
  <si>
    <t>LEGENDA PRIORITÀ:</t>
  </si>
  <si>
    <t>• ALTA: Documento obbligatorio per conformità normativa cogente</t>
  </si>
  <si>
    <t>• MEDIA: Documento fortemente raccomandato per compliance e best practice</t>
  </si>
  <si>
    <t>• BASSA: Documento utile per maturità organizzativa avanzata</t>
  </si>
  <si>
    <t>PROCESSO</t>
  </si>
  <si>
    <t>COD.DOC</t>
  </si>
  <si>
    <t>TITOLO DOCUMENTO</t>
  </si>
  <si>
    <t>TIPOLOGIA</t>
  </si>
  <si>
    <t>FUNZIONE FNCS</t>
  </si>
  <si>
    <t>REQUISITI E FONTI</t>
  </si>
  <si>
    <t>PRIORITÀ</t>
  </si>
  <si>
    <t>NOTE</t>
  </si>
  <si>
    <t>POL-001</t>
  </si>
  <si>
    <t>Policy di Sicurezza delle Informazioni</t>
  </si>
  <si>
    <t>Policy</t>
  </si>
  <si>
    <t>ISO27001:5.2, A.5.1 | NIS2:Art.20 | L90/2024:Art.8 | ACN-DET:GV.OC-01 | FNCS:GV.PO</t>
  </si>
  <si>
    <t>ALTA</t>
  </si>
  <si>
    <t>Documento apicale che definisce principi e obiettivi di sicurezza. Approvazione organi direttivi</t>
  </si>
  <si>
    <t>POL-002</t>
  </si>
  <si>
    <t>Politica di Gestione del Rischio Cyber</t>
  </si>
  <si>
    <t>ISO27001:6.1.2 | NIS2:Art.21 | FNCS:GV.RM | ACN-DET:GV.RM-01 | NIST:GV.RM</t>
  </si>
  <si>
    <t>Definisce approccio, criteri e tolleranza al rischio dell'organizzazione</t>
  </si>
  <si>
    <t>POL-003</t>
  </si>
  <si>
    <t>Politica di Sicurezza della Supply Chain</t>
  </si>
  <si>
    <t>GV/ID</t>
  </si>
  <si>
    <t>ISO27001:A.5.19-5.23 | NIS2:Art.21(2)(d) | FNCS:GV.SC | ACN-DET:ID.SC-01</t>
  </si>
  <si>
    <t>Requisiti di sicurezza per fornitori e terze parti</t>
  </si>
  <si>
    <t>DOC-001</t>
  </si>
  <si>
    <t>Documento Ruoli e Organizzazione Sicurezza</t>
  </si>
  <si>
    <t>Documento</t>
  </si>
  <si>
    <t>ISO27001:5.3 | L90/2024:Art.8(c) | NIS2:Art.20 | ACN-DET:GV.RR-01 | FNCS:GV.RR</t>
  </si>
  <si>
    <t>Organigramma, ruoli, responsabilità e deleghe per la sicurezza</t>
  </si>
  <si>
    <t>REG-001</t>
  </si>
  <si>
    <t>Registro degli Stakeholder Sicurezza</t>
  </si>
  <si>
    <t>Registro</t>
  </si>
  <si>
    <t>ISO27001:4.2 | FNCS:GV.OC-02</t>
  </si>
  <si>
    <t>MEDIA</t>
  </si>
  <si>
    <t>Elenco parti interessate interne/esterne e relative aspettative</t>
  </si>
  <si>
    <t>PIA-001</t>
  </si>
  <si>
    <t>Piano Programmatico Sicurezza ICT</t>
  </si>
  <si>
    <t>Piano</t>
  </si>
  <si>
    <t>L90/2024:Art.8(d) | NIS2:Art.21 | FNCS:GV.PO | ACN-DET:GV.PO-01</t>
  </si>
  <si>
    <t>Piano pluriennale sicurezza dati, sistemi e infrastrutture</t>
  </si>
  <si>
    <t>PRC-001</t>
  </si>
  <si>
    <t>Processo di Governance della Sicurezza</t>
  </si>
  <si>
    <t>Processo</t>
  </si>
  <si>
    <t>ISO27001:5.1 | NIS2:Art.20 | FNCS:GV.OV</t>
  </si>
  <si>
    <t>Comitato sicurezza, riunioni, escalation, reporting direzionale</t>
  </si>
  <si>
    <t>REP-001</t>
  </si>
  <si>
    <t>Report Periodico alla Direzione</t>
  </si>
  <si>
    <t>Report</t>
  </si>
  <si>
    <t>ISO27001:9.3 | NIS2:Art.20(2) | FNCS:GV.OV-02</t>
  </si>
  <si>
    <t>Report su stato sicurezza, KPI, incidenti, rischi per organi direttivi</t>
  </si>
  <si>
    <t>PRC-002</t>
  </si>
  <si>
    <t>Processo di Risk Assessment</t>
  </si>
  <si>
    <t>ISO27001:6.1.2, 8.2 | NIS2:Art.21 | FNCS:ID.RA | ACN-DET:ID.RA-01 | AgID-MM:4</t>
  </si>
  <si>
    <t>Metodologia identificazione, analisi e valutazione rischi cyber</t>
  </si>
  <si>
    <t>PRO-001</t>
  </si>
  <si>
    <t>Procedura di Analisi del Rischio</t>
  </si>
  <si>
    <t>Procedura</t>
  </si>
  <si>
    <t>ISO27001:6.1.2 | NIS2:Art.21(2)(a) | FNCS:ID.RA | NIST:ID.RA</t>
  </si>
  <si>
    <t>Modalità operative per conduzione risk assessment</t>
  </si>
  <si>
    <t>REG-002</t>
  </si>
  <si>
    <t>Registro dei Rischi Cyber</t>
  </si>
  <si>
    <t>ISO27001:6.1.2 | NIS2:Art.21 | FNCS:ID.RA-05 | ACN-DET:ID.RA-02</t>
  </si>
  <si>
    <t>Catalogo rischi identificati con impatto, probabilità, trattamento</t>
  </si>
  <si>
    <t>PIA-002</t>
  </si>
  <si>
    <t>Piano di Trattamento del Rischio</t>
  </si>
  <si>
    <t>ISO27001:6.1.3, 6.2 | NIS2:Art.21 | FNCS:ID.RA-06 | ACN-DET:ID.RA-03</t>
  </si>
  <si>
    <t>Azioni di mitigazione, responsabili, tempistiche, risorse</t>
  </si>
  <si>
    <t>DOC-002</t>
  </si>
  <si>
    <t>Statement of Applicability (SoA)</t>
  </si>
  <si>
    <t>ISO27001:6.1.3(d) | FNCS:ID.RA-06</t>
  </si>
  <si>
    <t>Dichiarazione controlli applicabili e giustificazione esclusioni</t>
  </si>
  <si>
    <t>PRO-002</t>
  </si>
  <si>
    <t>Procedura Gestione Rischio Residuo</t>
  </si>
  <si>
    <t>ISO27001:6.1.3 | FNCS:GV.RM-05</t>
  </si>
  <si>
    <t>Criteri accettazione rischio, approvazione e monitoraggio</t>
  </si>
  <si>
    <t>POL-004</t>
  </si>
  <si>
    <t>Politica di Classificazione delle Informazioni</t>
  </si>
  <si>
    <t>ID/PR</t>
  </si>
  <si>
    <t>ISO27001:A.5.12-5.13 | FNCS:ID.AM-08 | GDPR:Art.32</t>
  </si>
  <si>
    <t>Livelli classificazione, criteri, etichettatura, trattamento</t>
  </si>
  <si>
    <t>PRC-003</t>
  </si>
  <si>
    <t>Processo di Asset Management</t>
  </si>
  <si>
    <t>ISO27001:A.5.9-5.11 | NIS2:Art.21(2)(i) | FNCS:ID.AM | ACN-DET:ID.AM-01 | AgID-MM:1,2</t>
  </si>
  <si>
    <t>Gestione ciclo vita asset hardware, software, informazioni</t>
  </si>
  <si>
    <t>REG-003</t>
  </si>
  <si>
    <t>Inventario Asset Hardware</t>
  </si>
  <si>
    <t>ISO27001:A.5.9 | FNCS:ID.AM-01 | ACN-DET:ID.AM-02 | AgID-MM:ABSC1 | CIS:1</t>
  </si>
  <si>
    <t>Elenco completo dispositivi autorizzati e non autorizzati</t>
  </si>
  <si>
    <t>REG-004</t>
  </si>
  <si>
    <t>Inventario Asset Software</t>
  </si>
  <si>
    <t>ISO27001:A.5.9 | FNCS:ID.AM-02 | ACN-DET:ID.AM-03 | AgID-MM:ABSC2 | CIS:2</t>
  </si>
  <si>
    <t>Catalogo software autorizzato con versioni e licenze</t>
  </si>
  <si>
    <t>REG-005</t>
  </si>
  <si>
    <t>Registro dei Servizi ICT</t>
  </si>
  <si>
    <t>ISO27001:A.5.9 | NIS2:Art.21(2)(i) | FNCS:ID.AM-05 | ACN-DET:ID.AM-04</t>
  </si>
  <si>
    <t>Mappatura servizi, dipendenze, criticità, owner</t>
  </si>
  <si>
    <t>REG-006</t>
  </si>
  <si>
    <t>Registro dei Dati e Flussi Informativi</t>
  </si>
  <si>
    <t>FNCS:ID.AM-06 | GDPR:Art.30 | ACN-DET:ID.AM-05</t>
  </si>
  <si>
    <t>Catalogo dati trattati, flussi, classificazione, retention</t>
  </si>
  <si>
    <t>PRO-003</t>
  </si>
  <si>
    <t>Procedura Gestione Ciclo Vita Asset</t>
  </si>
  <si>
    <t>ISO27001:A.5.9-5.11 | FNCS:ID.AM-07 | ACN-DET:ID.AM-06</t>
  </si>
  <si>
    <t>Acquisizione, censimento, modifica, dismissione asset</t>
  </si>
  <si>
    <t>PRO-004</t>
  </si>
  <si>
    <t>Procedura di Dismissione Sicura</t>
  </si>
  <si>
    <t>ISO27001:A.5.11, A.7.14 | FNCS:PR.DS-03 | ACN-DET:PR.DS-01</t>
  </si>
  <si>
    <t>Sanitizzazione, cancellazione sicura, smaltimento RAEE</t>
  </si>
  <si>
    <t>POL-005</t>
  </si>
  <si>
    <t>Politica di Controllo degli Accessi</t>
  </si>
  <si>
    <t>ISO27001:A.5.15-5.18 | NIS2:Art.21(2)(i) | FNCS:PR.AA | ACN-DET:PR.AA-01</t>
  </si>
  <si>
    <t>Principi autorizzazione, autenticazione, need-to-know</t>
  </si>
  <si>
    <t>PRC-004</t>
  </si>
  <si>
    <t>Processo Identity &amp; Access Management</t>
  </si>
  <si>
    <t>ISO27001:A.5.16-5.18 | FNCS:PR.AA | ACN-DET:PR.AA-02 | CIS:5,6</t>
  </si>
  <si>
    <t>Gestione identità digitali e ciclo vita accessi</t>
  </si>
  <si>
    <t>PRO-005</t>
  </si>
  <si>
    <t>Procedura Provisioning/Deprovisioning Utenze</t>
  </si>
  <si>
    <t>ISO27001:A.5.16 | FNCS:PR.AA-01 | ACN-DET:PR.AA-03</t>
  </si>
  <si>
    <t>Creazione, modifica, revoca account e permessi</t>
  </si>
  <si>
    <t>PRO-006</t>
  </si>
  <si>
    <t>Procedura Gestione Accessi Privilegiati</t>
  </si>
  <si>
    <t>ISO27001:A.5.18, A.8.2 | FNCS:PR.AA-05 | ACN-DET:PR.AA-04 | AgID-MM:ABSC5 | CIS:6</t>
  </si>
  <si>
    <t>PAM, account amministrativi, logging, rotazione credenziali</t>
  </si>
  <si>
    <t>PRO-007</t>
  </si>
  <si>
    <t>Procedura Accesso Remoto Sicuro</t>
  </si>
  <si>
    <t>ISO27001:A.5.18, A.8.1 | FNCS:PR.AA-06 | ACN-DET:PR.AA-05</t>
  </si>
  <si>
    <t>VPN, MFA, controlli accesso da remoto</t>
  </si>
  <si>
    <t>PRO-008</t>
  </si>
  <si>
    <t>Procedura Gestione Credenziali e Password</t>
  </si>
  <si>
    <t>ISO27001:A.5.17 | FNCS:PR.AA-03 | ACN-DET:PR.AA-06</t>
  </si>
  <si>
    <t>Complessità, scadenza, conservazione, MFA</t>
  </si>
  <si>
    <t>REG-007</t>
  </si>
  <si>
    <t>Registro Accessi Privilegiati</t>
  </si>
  <si>
    <t>PR/DE</t>
  </si>
  <si>
    <t>ISO27001:A.8.15 | FNCS:PR.AA-05 | ACN-DET:PR.AA-07 | AgID-MM:ABSC5</t>
  </si>
  <si>
    <t>Log account amministrativi, audit trail</t>
  </si>
  <si>
    <t>LG-001</t>
  </si>
  <si>
    <t>Linee Guida Autenticazione Multi-Fattore</t>
  </si>
  <si>
    <t>Linea Guida</t>
  </si>
  <si>
    <t>ISO27001:A.5.17 | FNCS:PR.AA-03 | ACN-DET:PR.AA-08 | NIST:PR.AA</t>
  </si>
  <si>
    <t>Implementazione MFA per sistemi critici</t>
  </si>
  <si>
    <t>POL-006</t>
  </si>
  <si>
    <t>Politica di Protezione dei Dati</t>
  </si>
  <si>
    <t>GDPR:Art.5,24,32 | ISO27001:A.5.33-5.36 | FNCS:PR.DS | NIS2:Art.21(2)(d)</t>
  </si>
  <si>
    <t>Principi protezione dati, cifratura, integrità, disponibilità</t>
  </si>
  <si>
    <t>POL-007</t>
  </si>
  <si>
    <t>Politica Crittografica</t>
  </si>
  <si>
    <t>ISO27001:A.8.24 | FNCS:PR.DS-02 | ACN-DET:PR.DS-02 | NIST:PR.DS</t>
  </si>
  <si>
    <t>Standard cifratura, gestione chiavi, algoritmi approvati</t>
  </si>
  <si>
    <t>PRC-005</t>
  </si>
  <si>
    <t>Processo Gestione Chiavi Crittografiche</t>
  </si>
  <si>
    <t>ISO27001:A.8.24 | FNCS:PR.DS-02 | ACN-DET:PR.DS-03</t>
  </si>
  <si>
    <t>Generazione, distribuzione, custodia, rotazione, distruzione chiavi</t>
  </si>
  <si>
    <t>PRO-009</t>
  </si>
  <si>
    <t>Procedura Cifratura Dati at Rest</t>
  </si>
  <si>
    <t>ISO27001:A.8.24 | FNCS:PR.DS-02 | ACN-DET:PR.DS-04 | GDPR:Art.32</t>
  </si>
  <si>
    <t>Cifratura storage, database, backup</t>
  </si>
  <si>
    <t>PRO-010</t>
  </si>
  <si>
    <t>Procedura Cifratura Dati in Transit</t>
  </si>
  <si>
    <t>ISO27001:A.8.24 | FNCS:PR.DS-02 | ACN-DET:PR.DS-05</t>
  </si>
  <si>
    <t>TLS, VPN, protocolli sicuri per trasmissione dati</t>
  </si>
  <si>
    <t>PRO-011</t>
  </si>
  <si>
    <t>Procedura Backup e Restore</t>
  </si>
  <si>
    <t>PR/RC</t>
  </si>
  <si>
    <t>ISO27001:A.8.13 | NIS2:Art.21(2)(c) | FNCS:PR.DS-11 | ACN-DET:PR.DS-06 | AgID-MM:ABSC10 | CIS:11</t>
  </si>
  <si>
    <t>Politiche backup, frequenza, test restore, conservazione offsite</t>
  </si>
  <si>
    <t>PRO-012</t>
  </si>
  <si>
    <t>Procedura Data Loss Prevention</t>
  </si>
  <si>
    <t>ISO27001:A.8.12 | FNCS:PR.DS-05 | ACN-DET:PR.DS-07</t>
  </si>
  <si>
    <t>Controlli prevenzione perdita dati sensibili</t>
  </si>
  <si>
    <t>REG-008</t>
  </si>
  <si>
    <t>Registro Trattamenti Dati Personali</t>
  </si>
  <si>
    <t>GDPR:Art.30 | FNCS:ID.AM-06</t>
  </si>
  <si>
    <t>Registro trattamenti ex GDPR</t>
  </si>
  <si>
    <t>POL-008</t>
  </si>
  <si>
    <t>Politica di Sicurezza delle Reti</t>
  </si>
  <si>
    <t>ISO27001:A.8.20-8.23 | FNCS:PR.IR | ACN-DET:PR.IR-01 | NIS2:Art.21(2)(e)</t>
  </si>
  <si>
    <t>Segmentazione, protezione perimetrale, accesso rete</t>
  </si>
  <si>
    <t>PRC-006</t>
  </si>
  <si>
    <t>Processo di Network Security Management</t>
  </si>
  <si>
    <t>ISO27001:A.8.20-8.22 | FNCS:PR.IR | ACN-DET:PR.IR-02</t>
  </si>
  <si>
    <t>Gestione firewall, IDS/IPS, segmentazione, DMZ</t>
  </si>
  <si>
    <t>PRO-013</t>
  </si>
  <si>
    <t>Procedura Gestione Firewall</t>
  </si>
  <si>
    <t>ISO27001:A.8.20 | FNCS:PR.IR-01 | ACN-DET:PR.IR-03 | CIS:12</t>
  </si>
  <si>
    <t>Configurazione, rule management, change control</t>
  </si>
  <si>
    <t>PRO-014</t>
  </si>
  <si>
    <t>Procedura Segmentazione di Rete</t>
  </si>
  <si>
    <t>ISO27001:A.8.22 | FNCS:PR.IR-02 | ACN-DET:PR.IR-04 | CIS:12</t>
  </si>
  <si>
    <t>VLAN, microsegmentazione, isolamento zone critiche</t>
  </si>
  <si>
    <t>PRO-015</t>
  </si>
  <si>
    <t>Procedura Sicurezza Reti Wireless</t>
  </si>
  <si>
    <t>ISO27001:A.8.20 | FNCS:PR.IR-03 | ACN-DET:PR.IR-05 | CIS:12</t>
  </si>
  <si>
    <t>WPA3, RADIUS, guest network, monitoring</t>
  </si>
  <si>
    <t>PRO-016</t>
  </si>
  <si>
    <t>Procedura Anti-DDoS</t>
  </si>
  <si>
    <t>NIS2:Art.21(2)(e) | FNCS:PR.IR-04 | ACN-DET:PR.IR-06</t>
  </si>
  <si>
    <t>Mitigazione attacchi volumetrici, CDN, scrubbing</t>
  </si>
  <si>
    <t>DOC-003</t>
  </si>
  <si>
    <t>Diagramma Architettura di Rete</t>
  </si>
  <si>
    <t>ISO27001:A.5.9 | FNCS:ID.AM-04 | ACN-DET:ID.AM-07</t>
  </si>
  <si>
    <t>Schema topologia, zone sicurezza, flussi di rete</t>
  </si>
  <si>
    <t>REG-009</t>
  </si>
  <si>
    <t>Registro Regole Firewall</t>
  </si>
  <si>
    <t>ISO27001:A.8.20 | FNCS:PR.IR-01 | ACN-DET:PR.IR-07</t>
  </si>
  <si>
    <t>Documentazione rule base con giustificazioni</t>
  </si>
  <si>
    <t>POL-009</t>
  </si>
  <si>
    <t>Politica Sicurezza Endpoint</t>
  </si>
  <si>
    <t>ISO27001:A.8.1 | FNCS:PR.PS | ACN-DET:PR.PS-01</t>
  </si>
  <si>
    <t>Standard sicurezza per workstation, laptop, mobile</t>
  </si>
  <si>
    <t>PRC-007</t>
  </si>
  <si>
    <t>Processo Endpoint Protection</t>
  </si>
  <si>
    <t>ISO27001:A.8.7 | FNCS:PR.PS | ACN-DET:PR.PS-02 | AgID-MM:ABSC3,8 | CIS:4,10</t>
  </si>
  <si>
    <t>Antimalware, EDR, hardening, patch management</t>
  </si>
  <si>
    <t>PRO-017</t>
  </si>
  <si>
    <t>Procedura Hardening Sistemi</t>
  </si>
  <si>
    <t>ISO27001:A.8.9 | FNCS:PR.PS-01 | ACN-DET:PR.PS-03 | AgID-MM:ABSC3 | CIS:4</t>
  </si>
  <si>
    <t>Baseline configurazione sicura, CIS Benchmarks</t>
  </si>
  <si>
    <t>PRO-018</t>
  </si>
  <si>
    <t>Procedura Gestione Antimalware</t>
  </si>
  <si>
    <t>ISO27001:A.8.7 | FNCS:PR.PS-02 | ACN-DET:PR.PS-04 | AgID-MM:ABSC8 | CIS:10</t>
  </si>
  <si>
    <t>Deployment, aggiornamento, gestione alert</t>
  </si>
  <si>
    <t>PRO-019</t>
  </si>
  <si>
    <t>Procedura Mobile Device Management</t>
  </si>
  <si>
    <t>ISO27001:A.8.1 | FNCS:PR.PS-03 | ACN-DET:PR.PS-05</t>
  </si>
  <si>
    <t>MDM, BYOD policy, containerizzazione</t>
  </si>
  <si>
    <t>LG-002</t>
  </si>
  <si>
    <t>Linee Guida Configurazione Sicura Windows</t>
  </si>
  <si>
    <t>CIS Benchmarks | FNCS:PR.PS-01 | ACN-DET:PR.PS-06</t>
  </si>
  <si>
    <t>Hardening Windows client/server</t>
  </si>
  <si>
    <t>LG-003</t>
  </si>
  <si>
    <t>Linee Guida Configurazione Sicura Linux</t>
  </si>
  <si>
    <t>CIS Benchmarks | FNCS:PR.PS-01 | ACN-DET:PR.PS-07</t>
  </si>
  <si>
    <t>Hardening sistemi Linux</t>
  </si>
  <si>
    <t>PRC-008</t>
  </si>
  <si>
    <t>Processo Vulnerability Management</t>
  </si>
  <si>
    <t>ISO27001:A.8.8 | NIS2:Art.21(2)(e) | FNCS:ID.RA-01 | ACN-DET:ID.RA-04 | AgID-MM:ABSC4 | CIS:7</t>
  </si>
  <si>
    <t>Identificazione, valutazione, remediation vulnerabilità</t>
  </si>
  <si>
    <t>PRO-020</t>
  </si>
  <si>
    <t>Procedura Vulnerability Assessment</t>
  </si>
  <si>
    <t>ISO27001:A.8.8 | FNCS:ID.RA-01 | ACN-DET:ID.RA-05 | AgID-MM:ABSC4</t>
  </si>
  <si>
    <t>Scansioni periodiche, strumenti, scope, reporting</t>
  </si>
  <si>
    <t>PRO-021</t>
  </si>
  <si>
    <t>Procedura Penetration Testing</t>
  </si>
  <si>
    <t>ISO27001:A.8.8 | FNCS:ID.RA-02 | ACN-DET:ID.RA-06</t>
  </si>
  <si>
    <t>Pen test periodici, metodologia, regole ingaggio</t>
  </si>
  <si>
    <t>PRO-022</t>
  </si>
  <si>
    <t>Procedura Patch Management</t>
  </si>
  <si>
    <t>ISO27001:A.8.8, A.8.19 | FNCS:PR.PS-04 | ACN-DET:PR.PS-08 | AgID-MM:ABSC4 | CIS:7</t>
  </si>
  <si>
    <t>Identificazione, test, deploy, verifica patch</t>
  </si>
  <si>
    <t>PRO-023</t>
  </si>
  <si>
    <t>Procedura Responsible Disclosure</t>
  </si>
  <si>
    <t>ID/RS</t>
  </si>
  <si>
    <t>NIS2:Art.21(2)(e) | FNCS:ID.RA-03 | ACN-DET:ID.RA-07</t>
  </si>
  <si>
    <t>Gestione segnalazioni vulnerabilità da esterni</t>
  </si>
  <si>
    <t>REG-010</t>
  </si>
  <si>
    <t>Registro delle Vulnerabilità</t>
  </si>
  <si>
    <t>ISO27001:A.8.8 | FNCS:ID.RA-05 | ACN-DET:ID.RA-08</t>
  </si>
  <si>
    <t>Tracking vulnerabilità, stato remediation, SLA</t>
  </si>
  <si>
    <t>PRC-009</t>
  </si>
  <si>
    <t>Processo di Change Management</t>
  </si>
  <si>
    <t>ISO27001:A.8.32 | FNCS:PR.IP-03 | ACN-DET:PR.IP-01 | ITIL</t>
  </si>
  <si>
    <t>Gestione cambiamenti a sistemi e configurazioni</t>
  </si>
  <si>
    <t>PRO-024</t>
  </si>
  <si>
    <t>Procedura Richiesta e Approvazione Change</t>
  </si>
  <si>
    <t>ISO27001:A.8.32 | FNCS:PR.IP-03 | ACN-DET:PR.IP-02</t>
  </si>
  <si>
    <t>RFC, valutazione impatto, CAB, approvazione</t>
  </si>
  <si>
    <t>PRO-025</t>
  </si>
  <si>
    <t>Procedura Emergency Change</t>
  </si>
  <si>
    <t>PR/RS</t>
  </si>
  <si>
    <t>ISO27001:A.8.32 | FNCS:PR.IP-03 | ACN-DET:PR.IP-03</t>
  </si>
  <si>
    <t>Gestione change urgenti con iter accelerato</t>
  </si>
  <si>
    <t>REG-011</t>
  </si>
  <si>
    <t>Registro dei Change</t>
  </si>
  <si>
    <t>ISO27001:A.8.32 | FNCS:PR.IP-03</t>
  </si>
  <si>
    <t>Storico modifiche con esiti e rollback</t>
  </si>
  <si>
    <t>10. SICUREZZA APPLICATIVA</t>
  </si>
  <si>
    <t>POL-010</t>
  </si>
  <si>
    <t>Politica Sviluppo Software Sicuro</t>
  </si>
  <si>
    <t>ISO27001:A.8.25-8.31 | FNCS:PR.PS-06 | ACN-DET:PR.PS-09 | AgID:LG Sviluppo Sicuro</t>
  </si>
  <si>
    <t>SSDLC, security by design, code review</t>
  </si>
  <si>
    <t>PRC-010</t>
  </si>
  <si>
    <t>Processo Secure SDLC</t>
  </si>
  <si>
    <t>ISO27001:A.8.25-8.31 | FNCS:PR.PS-06 | ACN-DET:PR.PS-10</t>
  </si>
  <si>
    <t>Sicurezza in ogni fase del ciclo sviluppo</t>
  </si>
  <si>
    <t>PRO-026</t>
  </si>
  <si>
    <t>Procedura Security Requirements</t>
  </si>
  <si>
    <t>ISO27001:A.8.25 | FNCS:PR.PS-06 | ACN-DET:PR.PS-11</t>
  </si>
  <si>
    <t>Definizione requisiti sicurezza in fase analisi</t>
  </si>
  <si>
    <t>PRO-027</t>
  </si>
  <si>
    <t>Procedura Code Review Sicurezza</t>
  </si>
  <si>
    <t>ISO27001:A.8.28 | FNCS:PR.PS-06 | ACN-DET:PR.PS-12</t>
  </si>
  <si>
    <t>Review codice, SAST, DAST</t>
  </si>
  <si>
    <t>PRO-028</t>
  </si>
  <si>
    <t>Procedura Gestione Ambienti di Test</t>
  </si>
  <si>
    <t>ISO27001:A.8.31 | FNCS:PR.PS-06 | ACN-DET:PR.PS-13</t>
  </si>
  <si>
    <t>Separazione ambienti, dati test anonimizzati</t>
  </si>
  <si>
    <t>LG-004</t>
  </si>
  <si>
    <t>Linee Guida Secure Coding</t>
  </si>
  <si>
    <t>OWASP | AgID:LG Sviluppo Sicuro | FNCS:PR.PS-06 | ACN-DET:PR.PS-14</t>
  </si>
  <si>
    <t>Best practice sviluppo sicuro, OWASP Top 10</t>
  </si>
  <si>
    <t>LG-005</t>
  </si>
  <si>
    <t>Linee Guida API Security</t>
  </si>
  <si>
    <t>OWASP API Security | FNCS:PR.PS-06</t>
  </si>
  <si>
    <t>Sicurezza API REST, autenticazione, rate limiting</t>
  </si>
  <si>
    <t>11. SICUREZZA FISICA</t>
  </si>
  <si>
    <t>POL-011</t>
  </si>
  <si>
    <t>Politica Sicurezza Fisica</t>
  </si>
  <si>
    <t>ISO27001:A.7.1-7.14 | FNCS:PR.AC | ACN-DET:PR.AC-01</t>
  </si>
  <si>
    <t>Controllo accessi fisici, aree sicure, protezione apparecchiature</t>
  </si>
  <si>
    <t>PRO-029</t>
  </si>
  <si>
    <t>Procedura Controllo Accessi Fisici</t>
  </si>
  <si>
    <t>ISO27001:A.7.2-7.4 | FNCS:PR.AC-02 | ACN-DET:PR.AC-02</t>
  </si>
  <si>
    <t>Badge, registrazione visitatori, aree riservate</t>
  </si>
  <si>
    <t>PRO-030</t>
  </si>
  <si>
    <t>Procedura Sicurezza Data Center</t>
  </si>
  <si>
    <t>ISO27001:A.7.5-7.8 | FNCS:PR.AC-03 | ACN-DET:PR.AC-03</t>
  </si>
  <si>
    <t>Controlli ambientali, alimentazione, climatizzazione</t>
  </si>
  <si>
    <t>PRO-031</t>
  </si>
  <si>
    <t>Procedura Clear Desk/Clear Screen</t>
  </si>
  <si>
    <t>ISO27001:A.7.7 | FNCS:PR.AC-04 | ACN-DET:PR.AC-04</t>
  </si>
  <si>
    <t>Pulizia scrivanie, blocco schermo, documenti sensibili</t>
  </si>
  <si>
    <t>REG-012</t>
  </si>
  <si>
    <t>Registro Accessi Aree Sicure</t>
  </si>
  <si>
    <t>ISO27001:A.7.2 | FNCS:PR.AC-02</t>
  </si>
  <si>
    <t>Log ingressi/uscite aree critiche</t>
  </si>
  <si>
    <t>12. MONITORAGGIO E DETECTION</t>
  </si>
  <si>
    <t>POL-012</t>
  </si>
  <si>
    <t>Politica di Logging e Monitoraggio</t>
  </si>
  <si>
    <t>ISO27001:A.8.15-8.16 | NIS2:Art.21(2)(b) | FNCS:DE.CM | ACN-DET:DE.CM-01</t>
  </si>
  <si>
    <t>Cosa loggare, retention, protezione log, monitoring</t>
  </si>
  <si>
    <t>PRC-011</t>
  </si>
  <si>
    <t>Processo Security Monitoring</t>
  </si>
  <si>
    <t>ISO27001:A.8.16 | FNCS:DE.CM | ACN-DET:DE.CM-02 | AgID-MM:ABSC8</t>
  </si>
  <si>
    <t>SOC operations, SIEM, threat detection</t>
  </si>
  <si>
    <t>PRO-032</t>
  </si>
  <si>
    <t>Procedura SIEM Event Monitoring</t>
  </si>
  <si>
    <t>ISO27001:A.8.16 | FNCS:DE.CM-01 | ACN-DET:DE.CM-03</t>
  </si>
  <si>
    <t>Correlazione eventi, use case, tuning regole</t>
  </si>
  <si>
    <t>PRO-033</t>
  </si>
  <si>
    <t>Procedura SOC Triage</t>
  </si>
  <si>
    <t>FNCS:DE.AE | ACN-DET:DE.AE-01</t>
  </si>
  <si>
    <t>Classificazione alert, prioritizzazione, escalation</t>
  </si>
  <si>
    <t>PRO-034</t>
  </si>
  <si>
    <t>Procedura Threat Hunting</t>
  </si>
  <si>
    <t>FNCS:DE.CM-06 | ACN-DET:DE.CM-04</t>
  </si>
  <si>
    <t>Ricerca proattiva minacce, IoC, TTPs</t>
  </si>
  <si>
    <t>PRO-035</t>
  </si>
  <si>
    <t>Procedura Gestione Log</t>
  </si>
  <si>
    <t>ISO27001:A.8.15 | FNCS:DE.CM-02 | ACN-DET:DE.CM-05 | AgID-MM:ABSC5</t>
  </si>
  <si>
    <t>Raccolta, normalizzazione, conservazione, protezione log</t>
  </si>
  <si>
    <t>LG-006</t>
  </si>
  <si>
    <t>Linee Guida Logging Standard</t>
  </si>
  <si>
    <t>ISO27001:A.8.15 | FNCS:DE.CM-02 | ACN-DET:DE.CM-06</t>
  </si>
  <si>
    <t>Cosa loggare, formato, timestamp, eventi critici</t>
  </si>
  <si>
    <t>MAN-001</t>
  </si>
  <si>
    <t>Manuale Operativo SOC</t>
  </si>
  <si>
    <t>Manuale</t>
  </si>
  <si>
    <t>FNCS:DE.CM | ACN-DET:DE.CM-07</t>
  </si>
  <si>
    <t>Procedure operative analisti SOC, strumenti, workflow</t>
  </si>
  <si>
    <t>13. INCIDENT MANAGEMENT</t>
  </si>
  <si>
    <t>POL-013</t>
  </si>
  <si>
    <t>Politica di Gestione Incidenti</t>
  </si>
  <si>
    <t>ISO27001:A.5.24-5.28 | NIS2:Art.21(2)(b),23 | L90/2024:Art.1 | FNCS:RS.MA | ACN-DET:RS.MA-01</t>
  </si>
  <si>
    <t>Principi gestione incidenti, ruoli, comunicazione</t>
  </si>
  <si>
    <t>PRC-012</t>
  </si>
  <si>
    <t>Processo di Incident Management</t>
  </si>
  <si>
    <t>ISO27001:A.5.24-5.28 | NIS2:Art.21(2)(b) | FNCS:RS.MA | ACN-DET:RS.MA-02 | AgID-MM</t>
  </si>
  <si>
    <t>Rilevazione, analisi, contenimento, eradicazione, recovery</t>
  </si>
  <si>
    <t>PRO-036</t>
  </si>
  <si>
    <t>Procedura Classificazione Incidenti</t>
  </si>
  <si>
    <t>ISO27001:A.5.25 | FNCS:RS.AN-01 | ACN-DET:RS.AN-01</t>
  </si>
  <si>
    <t>Criteri severità, impatto, priorità</t>
  </si>
  <si>
    <t>PRO-037</t>
  </si>
  <si>
    <t>Procedura Escalation Incidenti</t>
  </si>
  <si>
    <t>ISO27001:A.5.26 | FNCS:RS.CO-01 | ACN-DET:RS.CO-01</t>
  </si>
  <si>
    <t>Catena escalation, comunicazione interna/esterna</t>
  </si>
  <si>
    <t>PRO-038</t>
  </si>
  <si>
    <t>Procedura Notifica Incidenti CSIRT Italia</t>
  </si>
  <si>
    <t>NIS2:Art.23 | L90/2024:Art.1 | FNCS:RS.CO-02 | ACN-DET:RS.CO-02</t>
  </si>
  <si>
    <t>Notifica 24h/72h, contenuti obbligatori, canali</t>
  </si>
  <si>
    <t>PRO-039</t>
  </si>
  <si>
    <t>Procedura Forensic Investigation</t>
  </si>
  <si>
    <t>ISO27001:A.5.28 | FNCS:RS.AN-03 | ACN-DET:RS.AN-02</t>
  </si>
  <si>
    <t>Raccolta prove, chain of custody, analisi forense</t>
  </si>
  <si>
    <t>PRO-040</t>
  </si>
  <si>
    <t>Procedura Post-Incident Review</t>
  </si>
  <si>
    <t>ISO27001:A.5.27 | FNCS:RS.IM-01 | ACN-DET:RS.IM-01</t>
  </si>
  <si>
    <t>Lessons learned, root cause analysis, miglioramenti</t>
  </si>
  <si>
    <t>REG-013</t>
  </si>
  <si>
    <t>Registro degli Incidenti</t>
  </si>
  <si>
    <t>ISO27001:A.5.24 | NIS2:Art.23 | FNCS:RS.AN-02 | ACN-DET:RS.AN-03</t>
  </si>
  <si>
    <t>Storico incidenti, analisi trend, metriche</t>
  </si>
  <si>
    <t>PLB-001</t>
  </si>
  <si>
    <t>Playbook Ransomware</t>
  </si>
  <si>
    <t>Playbook</t>
  </si>
  <si>
    <t>FNCS:RS.MA | ACN-DET:RS.MA-03</t>
  </si>
  <si>
    <t>Azioni predefinite per attacchi ransomware</t>
  </si>
  <si>
    <t>PLB-002</t>
  </si>
  <si>
    <t>Playbook Data Breach</t>
  </si>
  <si>
    <t>GDPR:Art.33-34 | FNCS:RS.MA | ACN-DET:RS.MA-04</t>
  </si>
  <si>
    <t>Gestione violazione dati personali, notifica Garante</t>
  </si>
  <si>
    <t>PLB-003</t>
  </si>
  <si>
    <t>Playbook Phishing</t>
  </si>
  <si>
    <t>FNCS:RS.MA | ACN-DET:RS.MA-05</t>
  </si>
  <si>
    <t>Risposta attacchi phishing/social engineering</t>
  </si>
  <si>
    <t>PLB-004</t>
  </si>
  <si>
    <t>Playbook DDoS</t>
  </si>
  <si>
    <t>FNCS:RS.MA | ACN-DET:RS.MA-06</t>
  </si>
  <si>
    <t>Mitigazione attacchi denial of service</t>
  </si>
  <si>
    <t>PLB-005</t>
  </si>
  <si>
    <t>Playbook Malware Infection</t>
  </si>
  <si>
    <t>FNCS:RS.MA | ACN-DET:RS.MA-07</t>
  </si>
  <si>
    <t>Contenimento ed eradicazione malware</t>
  </si>
  <si>
    <t>14. CONTINUITÀ OPERATIVA</t>
  </si>
  <si>
    <t>POL-014</t>
  </si>
  <si>
    <t>Politica di Business Continuity</t>
  </si>
  <si>
    <t>ISO27001:A.5.29-5.30 | NIS2:Art.21(2)(c) | FNCS:RC.RP | ACN-DET:RC.RP-01</t>
  </si>
  <si>
    <t>Principi continuità, obiettivi RTO/RPO</t>
  </si>
  <si>
    <t>PRC-013</t>
  </si>
  <si>
    <t>Processo di Business Continuity Management</t>
  </si>
  <si>
    <t>ISO27001:A.5.29-5.30 | ISO22301 | FNCS:RC.RP | ACN-DET:RC.RP-02</t>
  </si>
  <si>
    <t>BCM lifecycle, BIA, strategie, test</t>
  </si>
  <si>
    <t>DOC-004</t>
  </si>
  <si>
    <t>Business Impact Analysis (BIA)</t>
  </si>
  <si>
    <t>ID/RC</t>
  </si>
  <si>
    <t>ISO27001:A.5.29 | FNCS:ID.RA-04 | ACN-DET:ID.RA-09</t>
  </si>
  <si>
    <t>Analisi impatti, processi critici, RTO/RPO</t>
  </si>
  <si>
    <t>PIA-003</t>
  </si>
  <si>
    <t>Business Continuity Plan</t>
  </si>
  <si>
    <t>ISO27001:A.5.29-5.30 | NIS2:Art.21(2)(c) | FNCS:RC.RP-01 | ACN-DET:RC.RP-03</t>
  </si>
  <si>
    <t>Piano continuità operativa</t>
  </si>
  <si>
    <t>PIA-004</t>
  </si>
  <si>
    <t>Disaster Recovery Plan</t>
  </si>
  <si>
    <t>ISO27001:A.5.30 | NIS2:Art.21(2)(c) | FNCS:RC.RP-02 | ACN-DET:RC.RP-04</t>
  </si>
  <si>
    <t>Piano ripristino sistemi IT</t>
  </si>
  <si>
    <t>PIA-005</t>
  </si>
  <si>
    <t>Piano Gestione Crisi Informatiche</t>
  </si>
  <si>
    <t>RS/RC</t>
  </si>
  <si>
    <t>NIS2:Art.21 | FNCS:RS.MA-02 | ACN-DET:RS.MA-08</t>
  </si>
  <si>
    <t>Gestione crisi cyber, comunicazione, escalation</t>
  </si>
  <si>
    <t>PRO-041</t>
  </si>
  <si>
    <t>Procedura Test BC/DR</t>
  </si>
  <si>
    <t>ISO27001:A.5.30 | FNCS:RC.RP-03 | ACN-DET:RC.RP-05</t>
  </si>
  <si>
    <t>Test periodici piani continuità e disaster recovery</t>
  </si>
  <si>
    <t>PRO-042</t>
  </si>
  <si>
    <t>Procedura Attivazione DR</t>
  </si>
  <si>
    <t>ISO27001:A.5.30 | FNCS:RC.RP-02 | ACN-DET:RC.RP-06</t>
  </si>
  <si>
    <t>Attivazione sito DR, failover, procedure operative</t>
  </si>
  <si>
    <t>PRO-043</t>
  </si>
  <si>
    <t>Procedura Comunicazione in Crisi</t>
  </si>
  <si>
    <t>NIS2:Art.23 | FNCS:RC.CO | ACN-DET:RC.CO-01</t>
  </si>
  <si>
    <t>Comunicazione stakeholder durante crisi</t>
  </si>
  <si>
    <t>15. THREAT INTELLIGENCE</t>
  </si>
  <si>
    <t>PRC-014</t>
  </si>
  <si>
    <t>Processo Cyber Threat Intelligence</t>
  </si>
  <si>
    <t>ID/DE</t>
  </si>
  <si>
    <t>ISO27001:A.5.7 | FNCS:ID.RA-02 | ACN-DET:ID.RA-10</t>
  </si>
  <si>
    <t>Raccolta, analisi, condivisione threat intelligence</t>
  </si>
  <si>
    <t>PRO-044</t>
  </si>
  <si>
    <t>Procedura Gestione IoC</t>
  </si>
  <si>
    <t>FNCS:DE.CM-07 | ACN-DET:DE.CM-08</t>
  </si>
  <si>
    <t>Indicators of Compromise, alimentazione SIEM/EDR</t>
  </si>
  <si>
    <t>PRO-045</t>
  </si>
  <si>
    <t>Procedura Early Warning</t>
  </si>
  <si>
    <t>AgID-MM | FNCS:ID.RA-02 | ACN-DET:ID.RA-11</t>
  </si>
  <si>
    <t>Monitoraggio bollettini CSIRT, CERT, vendor</t>
  </si>
  <si>
    <t>REG-014</t>
  </si>
  <si>
    <t>Registro Threat Intelligence</t>
  </si>
  <si>
    <t>FNCS:ID.RA-02 | ACN-DET:ID.RA-12</t>
  </si>
  <si>
    <t>Database minacce, attori, TTPs rilevanti</t>
  </si>
  <si>
    <t>16. FORMAZIONE E AWARENESS</t>
  </si>
  <si>
    <t>POL-015</t>
  </si>
  <si>
    <t>Politica Formazione Sicurezza</t>
  </si>
  <si>
    <t>GV/PR</t>
  </si>
  <si>
    <t>ISO27001:A.6.3 | NIS2:Art.20(2) | FNCS:PR.AT | ACN-DET:PR.AT-01</t>
  </si>
  <si>
    <t>Obblighi formativi, awareness, competenze</t>
  </si>
  <si>
    <t>PRC-015</t>
  </si>
  <si>
    <t>Processo Security Awareness</t>
  </si>
  <si>
    <t>ISO27001:A.6.3 | NIS2:Art.20(2) | FNCS:PR.AT | ACN-DET:PR.AT-02 | AgID-MM:ABSC17</t>
  </si>
  <si>
    <t>Programma sensibilizzazione continua</t>
  </si>
  <si>
    <t>PIA-006</t>
  </si>
  <si>
    <t>Piano Formazione Annuale Sicurezza</t>
  </si>
  <si>
    <t>ISO27001:A.6.3 | FNCS:PR.AT-01 | ACN-DET:PR.AT-03</t>
  </si>
  <si>
    <t>Calendario corsi, target, obiettivi, budget</t>
  </si>
  <si>
    <t>PRO-046</t>
  </si>
  <si>
    <t>Procedura Campagne Phishing Simulato</t>
  </si>
  <si>
    <t>FNCS:PR.AT-02 | ACN-DET:PR.AT-04</t>
  </si>
  <si>
    <t>Test phishing interni, metriche, follow-up</t>
  </si>
  <si>
    <t>REG-015</t>
  </si>
  <si>
    <t>Registro Formazione Sicurezza</t>
  </si>
  <si>
    <t>ISO27001:A.6.3 | FNCS:PR.AT-03 | ACN-DET:PR.AT-05</t>
  </si>
  <si>
    <t>Tracciamento corsi erogati, partecipanti, attestati</t>
  </si>
  <si>
    <t>17. GESTIONE FORNITORI</t>
  </si>
  <si>
    <t>PRC-016</t>
  </si>
  <si>
    <t>Processo Gestione Sicurezza Fornitori</t>
  </si>
  <si>
    <t>ID/GV</t>
  </si>
  <si>
    <t>ISO27001:A.5.19-5.23 | NIS2:Art.21(2)(d) | FNCS:GV.SC | ACN-DET:GV.SC-01</t>
  </si>
  <si>
    <t>Valutazione, contrattualistica, monitoraggio fornitori</t>
  </si>
  <si>
    <t>PRO-047</t>
  </si>
  <si>
    <t>Procedura Valutazione Sicurezza Fornitori</t>
  </si>
  <si>
    <t>ISO27001:A.5.19-5.20 | FNCS:ID.SC-02 | ACN-DET:ID.SC-01</t>
  </si>
  <si>
    <t>Due diligence, questionari, audit fornitori</t>
  </si>
  <si>
    <t>PRO-048</t>
  </si>
  <si>
    <t>Procedura Gestione Contratti ICT</t>
  </si>
  <si>
    <t>ISO27001:A.5.20-5.22 | L90/2024:Art.14 | FNCS:GV.SC-03 | ACN-DET:GV.SC-02</t>
  </si>
  <si>
    <t>Clausole sicurezza, SLA, diritti audit, exit</t>
  </si>
  <si>
    <t>PRO-049</t>
  </si>
  <si>
    <t>Procedura Monitoraggio Fornitori Critici</t>
  </si>
  <si>
    <t>ISO27001:A.5.22 | FNCS:ID.SC-04 | ACN-DET:ID.SC-02</t>
  </si>
  <si>
    <t>KPI sicurezza, incident fornitori, review periodica</t>
  </si>
  <si>
    <t>REG-016</t>
  </si>
  <si>
    <t>Registro Fornitori Critici</t>
  </si>
  <si>
    <t>ISO27001:A.5.19 | FNCS:ID.SC-01 | ACN-DET:ID.SC-03</t>
  </si>
  <si>
    <t>Elenco fornitori, servizi, criticità, valutazioni</t>
  </si>
  <si>
    <t>DOC-005</t>
  </si>
  <si>
    <t>Requisiti Sicurezza per Bandi ICT</t>
  </si>
  <si>
    <t>L90/2024:Art.14 | FNCS:GV.SC-04 | ACN-DET:GV.SC-03</t>
  </si>
  <si>
    <t>Elementi essenziali cybersicurezza per appalti</t>
  </si>
  <si>
    <t>18. COMPLIANCE E AUDIT</t>
  </si>
  <si>
    <t>PRC-017</t>
  </si>
  <si>
    <t>Processo di Compliance Management</t>
  </si>
  <si>
    <t>ISO27001:A.5.31-5.37 | NIS2:Art.32-34 | FNCS:GV.OC | ACN-DET:GV.OC-02</t>
  </si>
  <si>
    <t>Monitoraggio conformità, gap analysis</t>
  </si>
  <si>
    <t>PRC-018</t>
  </si>
  <si>
    <t>Processo di Internal Audit</t>
  </si>
  <si>
    <t>ISO27001:9.2 | FNCS:GV.OV-03 | ACN-DET:GV.OV-01</t>
  </si>
  <si>
    <t>Pianificazione, esecuzione, reporting audit interni</t>
  </si>
  <si>
    <t>PIA-007</t>
  </si>
  <si>
    <t>Piano Audit Annuale</t>
  </si>
  <si>
    <t>ISO27001:9.2 | FNCS:GV.OV-03 | ACN-DET:GV.OV-02</t>
  </si>
  <si>
    <t>Programmazione audit, scope, risorse</t>
  </si>
  <si>
    <t>PRO-050</t>
  </si>
  <si>
    <t>Procedura Audit Interno Sicurezza</t>
  </si>
  <si>
    <t>ISO27001:9.2 | FNCS:GV.OV-03 | ACN-DET:GV.OV-03</t>
  </si>
  <si>
    <t>Modalità conduzione audit, checklist, reporting</t>
  </si>
  <si>
    <t>PRO-051</t>
  </si>
  <si>
    <t>Procedura Gestione Non Conformità</t>
  </si>
  <si>
    <t>ISO27001:10.1-10.2 | FNCS:GV.IM | ACN-DET:GV.IM-01</t>
  </si>
  <si>
    <t>Identificazione, trattamento NC, azioni correttive</t>
  </si>
  <si>
    <t>REG-017</t>
  </si>
  <si>
    <t>Registro Non Conformità</t>
  </si>
  <si>
    <t>ISO27001:10.1 | FNCS:GV.IM-01 | ACN-DET:GV.IM-02</t>
  </si>
  <si>
    <t>Tracking NC, stato, chiusura</t>
  </si>
  <si>
    <t>REG-018</t>
  </si>
  <si>
    <t>Registro Requisiti Legali e Contrattuali</t>
  </si>
  <si>
    <t>ISO27001:A.5.31 | FNCS:GV.OC-01 | ACN-DET:GV.OC-03</t>
  </si>
  <si>
    <t>Mappatura obblighi, scadenze, responsabili</t>
  </si>
  <si>
    <t>REP-002</t>
  </si>
  <si>
    <t>Report Compliance NIS2/ACN</t>
  </si>
  <si>
    <t>NIS2:Art.32 | ACN-DET | FNCS:GV.OC</t>
  </si>
  <si>
    <t>Stato conformità requisiti NIS2</t>
  </si>
  <si>
    <t>19. RISORSE UMANE</t>
  </si>
  <si>
    <t>POL-016</t>
  </si>
  <si>
    <t>Politica Sicurezza Risorse Umane</t>
  </si>
  <si>
    <t>ISO27001:A.6.1-6.8 | FNCS:PR.AT | ACN-DET:PR.AT-06</t>
  </si>
  <si>
    <t>Screening, termination, responsabilità personale</t>
  </si>
  <si>
    <t>PRO-052</t>
  </si>
  <si>
    <t>Procedura Onboarding Sicurezza</t>
  </si>
  <si>
    <t>ISO27001:A.6.1-6.2 | FNCS:PR.AT-04 | ACN-DET:PR.AT-07</t>
  </si>
  <si>
    <t>Verifiche pre-assunzione, NDA, formazione iniziale</t>
  </si>
  <si>
    <t>PRO-053</t>
  </si>
  <si>
    <t>Procedura Offboarding Sicurezza</t>
  </si>
  <si>
    <t>ISO27001:A.6.5 | FNCS:PR.AA-02 | ACN-DET:PR.AA-09</t>
  </si>
  <si>
    <t>Revoca accessi, restituzione asset, exit interview</t>
  </si>
  <si>
    <t>PRO-054</t>
  </si>
  <si>
    <t>Procedura Azioni Disciplinari</t>
  </si>
  <si>
    <t>ISO27001:A.6.4 | FNCS:GV.RR-03 | ACN-DET:GV.RR-01</t>
  </si>
  <si>
    <t>Violazioni policy, sanzioni, documentazione</t>
  </si>
  <si>
    <t>20. MIGLIORAMENTO CONTINUO</t>
  </si>
  <si>
    <t>PRC-019</t>
  </si>
  <si>
    <t>Processo di Miglioramento Continuo</t>
  </si>
  <si>
    <t>ISO27001:10.2 | FNCS:GV.IM | ACN-DET:GV.IM-03</t>
  </si>
  <si>
    <t>PDCA, metriche, KPI, obiettivi miglioramento</t>
  </si>
  <si>
    <t>PRO-055</t>
  </si>
  <si>
    <t>Procedura Gestione Documentazione</t>
  </si>
  <si>
    <t>ISO27001:7.5 | FNCS:GV.PO-02 | ACN-DET:GV.PO-02</t>
  </si>
  <si>
    <t>Controllo documenti, versioning, approvazione</t>
  </si>
  <si>
    <t>PRO-056</t>
  </si>
  <si>
    <t>Procedura Riesame Direzione</t>
  </si>
  <si>
    <t>ISO27001:9.3 | FNCS:GV.OV-02 | ACN-DET:GV.OV-04</t>
  </si>
  <si>
    <t>Input/output riesame, frequenza, verbali</t>
  </si>
  <si>
    <t>REP-003</t>
  </si>
  <si>
    <t>Report KPI Sicurezza</t>
  </si>
  <si>
    <t>ISO27001:9.1 | FNCS:GV.OV-01 | ACN-DET:GV.OV-05</t>
  </si>
  <si>
    <t>Dashboard metriche sicurezza</t>
  </si>
  <si>
    <t>REG-019</t>
  </si>
  <si>
    <t>Registro Obiettivi Sicurezza</t>
  </si>
  <si>
    <t>ISO27001:6.2 | FNCS:GV.OC-03 | ACN-DET:GV.OC-04</t>
  </si>
  <si>
    <t>Target, stato avanzamento, responsabili</t>
  </si>
  <si>
    <t>FONTE NORMATIVA</t>
  </si>
  <si>
    <t>RIFERIMENTO</t>
  </si>
  <si>
    <t>AREA/REQUISITO</t>
  </si>
  <si>
    <t>DOCUMENTI CORRELATI</t>
  </si>
  <si>
    <t>Art. 20</t>
  </si>
  <si>
    <t>Governance organi direttivi</t>
  </si>
  <si>
    <t>POL-001, DOC-001, PRC-001, REP-001</t>
  </si>
  <si>
    <t>Art. 21(2)(a)</t>
  </si>
  <si>
    <t>Politiche analisi rischi e sicurezza</t>
  </si>
  <si>
    <t>POL-002, PRC-002, PRO-001, REG-002</t>
  </si>
  <si>
    <t>Art. 21(2)(b)</t>
  </si>
  <si>
    <t>Gestione incidenti</t>
  </si>
  <si>
    <t>POL-013, PRC-012, PRO-036-040, PLB-001-005</t>
  </si>
  <si>
    <t>Art. 21(2)(c)</t>
  </si>
  <si>
    <t>Continuità operativa e disaster recovery</t>
  </si>
  <si>
    <t>POL-014, PIA-003, PIA-004, PRO-011, PRO-041-042</t>
  </si>
  <si>
    <t>Art. 21(2)(d)</t>
  </si>
  <si>
    <t>Sicurezza supply chain</t>
  </si>
  <si>
    <t>POL-003, PRC-016, PRO-047-049, REG-016</t>
  </si>
  <si>
    <t>Art. 21(2)(e)</t>
  </si>
  <si>
    <t>Sicurezza acquisizione, sviluppo, manutenzione</t>
  </si>
  <si>
    <t>POL-010, PRC-010, PRO-022-023, PRO-026-028</t>
  </si>
  <si>
    <t>Art. 21(2)(f)</t>
  </si>
  <si>
    <t>Valutazione efficacia misure</t>
  </si>
  <si>
    <t>PRC-017, PIA-007, PRO-050-051</t>
  </si>
  <si>
    <t>Art. 21(2)(g)</t>
  </si>
  <si>
    <t>Pratiche igiene informatica e formazione</t>
  </si>
  <si>
    <t>POL-015, PRC-015, PIA-006, PRO-046</t>
  </si>
  <si>
    <t>Art. 21(2)(h)</t>
  </si>
  <si>
    <t>Politiche crittografia</t>
  </si>
  <si>
    <t>POL-007, PRC-005, PRO-009-010</t>
  </si>
  <si>
    <t>Art. 21(2)(i)</t>
  </si>
  <si>
    <t>Sicurezza risorse umane e controllo accessi</t>
  </si>
  <si>
    <t>POL-005, POL-016, PRC-004, PRO-005-008, PRO-052-053</t>
  </si>
  <si>
    <t>Art. 21(2)(j)</t>
  </si>
  <si>
    <t>Autenticazione multi-fattore</t>
  </si>
  <si>
    <t>LG-001, PRO-008</t>
  </si>
  <si>
    <t>Art. 23</t>
  </si>
  <si>
    <t>Notifica incidenti</t>
  </si>
  <si>
    <t>PRO-038, REG-013</t>
  </si>
  <si>
    <t>Art. 1</t>
  </si>
  <si>
    <t>Notifica incidenti 24h/72h</t>
  </si>
  <si>
    <t>Art. 8(c)</t>
  </si>
  <si>
    <t>Documento ruoli e organizzazione</t>
  </si>
  <si>
    <t>Art. 8(d)</t>
  </si>
  <si>
    <t>Piano programmatico sicurezza</t>
  </si>
  <si>
    <t>Art. 8(e)</t>
  </si>
  <si>
    <t>Interventi gestione rischi</t>
  </si>
  <si>
    <t>PIA-002, PRC-002</t>
  </si>
  <si>
    <t>Art. 8(f)</t>
  </si>
  <si>
    <t>Adozione misure linee guida ACN</t>
  </si>
  <si>
    <t>Tutti i documenti PRO e IO</t>
  </si>
  <si>
    <t>Art. 8(g)</t>
  </si>
  <si>
    <t>Monitoraggio minacce e vulnerabilità</t>
  </si>
  <si>
    <t>PRC-008, PRO-020-022, PRC-014</t>
  </si>
  <si>
    <t>Art. 14</t>
  </si>
  <si>
    <t>Contratti pubblici beni/servizi informatici</t>
  </si>
  <si>
    <t>DOC-005, PRO-048</t>
  </si>
  <si>
    <t>GV.OC - Contesto organizzativo</t>
  </si>
  <si>
    <t>Governance e stakeholder</t>
  </si>
  <si>
    <t>POL-001, REG-001, PRC-017</t>
  </si>
  <si>
    <t>GV.RM - Gestione rischio</t>
  </si>
  <si>
    <t>Risk management</t>
  </si>
  <si>
    <t>POL-002, PRC-002, PRO-001-002</t>
  </si>
  <si>
    <t>GV.RR - Ruoli e responsabilità</t>
  </si>
  <si>
    <t>Organizzazione sicurezza</t>
  </si>
  <si>
    <t>DOC-001, PRO-054</t>
  </si>
  <si>
    <t>GV.PO - Policy</t>
  </si>
  <si>
    <t>Politiche sicurezza</t>
  </si>
  <si>
    <t>POL-001-016, PRO-055</t>
  </si>
  <si>
    <t>GV.OV - Supervisione</t>
  </si>
  <si>
    <t>Monitoraggio e reporting direzione</t>
  </si>
  <si>
    <t>PRC-001, REP-001, PRO-056</t>
  </si>
  <si>
    <t>GV.SC - Supply chain</t>
  </si>
  <si>
    <t>Gestione fornitori</t>
  </si>
  <si>
    <t>POL-003, PRC-016, PRO-047-049</t>
  </si>
  <si>
    <t>ID.AM - Asset management</t>
  </si>
  <si>
    <t>Gestione asset</t>
  </si>
  <si>
    <t>PRC-003, REG-003-006, PRO-003-004</t>
  </si>
  <si>
    <t>ID.RA - Risk assessment</t>
  </si>
  <si>
    <t>Valutazione rischi e vulnerabilità</t>
  </si>
  <si>
    <t>PRC-002, PRO-001, PRO-020-021, REG-002</t>
  </si>
  <si>
    <t>ID.SC - Supply chain risk</t>
  </si>
  <si>
    <t>Rischio fornitori</t>
  </si>
  <si>
    <t>PRO-047, REG-016</t>
  </si>
  <si>
    <t>PR.AA - Accessi e autenticazione</t>
  </si>
  <si>
    <t>Controllo accessi</t>
  </si>
  <si>
    <t>POL-005, PRC-004, PRO-005-008</t>
  </si>
  <si>
    <t>PR.AT - Awareness e training</t>
  </si>
  <si>
    <t>Formazione</t>
  </si>
  <si>
    <t>POL-015, PRC-015, PIA-006, REG-015</t>
  </si>
  <si>
    <t>PR.DS - Data security</t>
  </si>
  <si>
    <t>Protezione dati</t>
  </si>
  <si>
    <t>POL-006-007, PRO-009-012</t>
  </si>
  <si>
    <t>PR.IP - Information protection</t>
  </si>
  <si>
    <t>Change management</t>
  </si>
  <si>
    <t>PRC-009, PRO-024-025</t>
  </si>
  <si>
    <t>PR.IR - Infrastructure resilience</t>
  </si>
  <si>
    <t>Sicurezza reti</t>
  </si>
  <si>
    <t>POL-008, PRC-006, PRO-013-016</t>
  </si>
  <si>
    <t>PR.PS - Platform security</t>
  </si>
  <si>
    <t>Sicurezza endpoint e applicazioni</t>
  </si>
  <si>
    <t>POL-009-010, PRC-007, PRC-010, PRO-017-019</t>
  </si>
  <si>
    <t>PR.AC - Physical access</t>
  </si>
  <si>
    <t>Sicurezza fisica</t>
  </si>
  <si>
    <t>POL-011, PRO-029-031</t>
  </si>
  <si>
    <t>DE.CM - Continuous monitoring</t>
  </si>
  <si>
    <t>Monitoraggio continuo</t>
  </si>
  <si>
    <t>POL-012, PRC-011, PRO-032-035, MAN-001</t>
  </si>
  <si>
    <t>DE.AE - Adverse event analysis</t>
  </si>
  <si>
    <t>Analisi eventi</t>
  </si>
  <si>
    <t>PRO-033, PRO-034</t>
  </si>
  <si>
    <t>RS.MA - Incident management</t>
  </si>
  <si>
    <t>RS.AN - Incident analysis</t>
  </si>
  <si>
    <t>Analisi incidenti</t>
  </si>
  <si>
    <t>PRO-036, PRO-039-040</t>
  </si>
  <si>
    <t>RS.CO - Incident communication</t>
  </si>
  <si>
    <t>Comunicazione incidenti</t>
  </si>
  <si>
    <t>PRO-037-038, PRO-043</t>
  </si>
  <si>
    <t>RS.IM - Incident improvement</t>
  </si>
  <si>
    <t>Lessons learned</t>
  </si>
  <si>
    <t>RC.RP - Recovery planning</t>
  </si>
  <si>
    <t>Continuità e recovery</t>
  </si>
  <si>
    <t>POL-014, PIA-003-005, PRO-041-042</t>
  </si>
  <si>
    <t>RC.CO - Recovery communication</t>
  </si>
  <si>
    <t>Comunicazione ripristino</t>
  </si>
  <si>
    <t>5.1-5.3</t>
  </si>
  <si>
    <t>Leadership e policy</t>
  </si>
  <si>
    <t>POL-001, DOC-001, PRC-001</t>
  </si>
  <si>
    <t>6.1-6.2</t>
  </si>
  <si>
    <t>Risk assessment e treatment</t>
  </si>
  <si>
    <t>PRC-002, PRO-001-002, DOC-002, PIA-002</t>
  </si>
  <si>
    <t>7.5</t>
  </si>
  <si>
    <t>Documented information</t>
  </si>
  <si>
    <t>8.1-8.3</t>
  </si>
  <si>
    <t>Operational planning and control</t>
  </si>
  <si>
    <t>9.1-9.3</t>
  </si>
  <si>
    <t>Performance evaluation</t>
  </si>
  <si>
    <t>REP-001, PRO-056, PIA-007</t>
  </si>
  <si>
    <t>10.1-10.2</t>
  </si>
  <si>
    <t>Improvement</t>
  </si>
  <si>
    <t>PRC-019, PRO-051, REG-017</t>
  </si>
  <si>
    <t>A.5 Organizational</t>
  </si>
  <si>
    <t>Controlli organizzativi</t>
  </si>
  <si>
    <t>POL-001-016, PRO vari, REG vari</t>
  </si>
  <si>
    <t>A.6 People</t>
  </si>
  <si>
    <t>Controlli personale</t>
  </si>
  <si>
    <t>POL-016, PRO-052-054</t>
  </si>
  <si>
    <t>A.7 Physical</t>
  </si>
  <si>
    <t>Controlli fisici</t>
  </si>
  <si>
    <t>A.8 Technological</t>
  </si>
  <si>
    <t>Controlli tecnologici</t>
  </si>
  <si>
    <t>Tutte le PRO tecniche, LG, MAN</t>
  </si>
  <si>
    <t>ABSC1</t>
  </si>
  <si>
    <t>Inventario dispositivi</t>
  </si>
  <si>
    <t>ABSC2</t>
  </si>
  <si>
    <t>Inventario software</t>
  </si>
  <si>
    <t>ABSC3</t>
  </si>
  <si>
    <t>Configurazioni sicure</t>
  </si>
  <si>
    <t>PRO-017, LG-002-003</t>
  </si>
  <si>
    <t>ABSC4</t>
  </si>
  <si>
    <t>Vulnerability management</t>
  </si>
  <si>
    <t>PRC-008, PRO-020-022</t>
  </si>
  <si>
    <t>ABSC5</t>
  </si>
  <si>
    <t>Gestione account privilegiati</t>
  </si>
  <si>
    <t>PRO-006, REG-007</t>
  </si>
  <si>
    <t>ABSC8</t>
  </si>
  <si>
    <t>Difese malware</t>
  </si>
  <si>
    <t>PRO-018, PRC-007</t>
  </si>
  <si>
    <t>ABSC10</t>
  </si>
  <si>
    <t>Copie di sicurezza</t>
  </si>
  <si>
    <t>ABSC13</t>
  </si>
  <si>
    <t>POL-006, PRO-009-012</t>
  </si>
  <si>
    <t>FNCS 2025</t>
  </si>
  <si>
    <t>GV - Govern</t>
  </si>
  <si>
    <t>Governance cybersecurity</t>
  </si>
  <si>
    <t>Tutti i documenti POL, PRC-001, DOC-001</t>
  </si>
  <si>
    <t>ID - Identify</t>
  </si>
  <si>
    <t>Identificazione asset e rischi</t>
  </si>
  <si>
    <t>PRC-002-003, REG-002-006, DOC-004</t>
  </si>
  <si>
    <t>PR - Protect</t>
  </si>
  <si>
    <t>Protezione</t>
  </si>
  <si>
    <t>POL-005-011, PRO-005-031</t>
  </si>
  <si>
    <t>DE - Detect</t>
  </si>
  <si>
    <t>Rilevazione</t>
  </si>
  <si>
    <t>POL-012, PRC-011, PRO-032-035</t>
  </si>
  <si>
    <t>RS - Respond</t>
  </si>
  <si>
    <t>Risposta</t>
  </si>
  <si>
    <t>POL-013, PRC-012, PLB-001-005</t>
  </si>
  <si>
    <t>RC - Recover</t>
  </si>
  <si>
    <t>Ripristino</t>
  </si>
  <si>
    <t>POL-014, PIA-003-005, PRO-041-043</t>
  </si>
  <si>
    <t>RIEPILOGO DOCUMENTALE</t>
  </si>
  <si>
    <t>Quantità</t>
  </si>
  <si>
    <t>Percentuale</t>
  </si>
  <si>
    <t>11.7%</t>
  </si>
  <si>
    <t>13.9%</t>
  </si>
  <si>
    <t>40.9%</t>
  </si>
  <si>
    <t>4.4%</t>
  </si>
  <si>
    <t>Manuale (MAN)</t>
  </si>
  <si>
    <t>0.7%</t>
  </si>
  <si>
    <t>3.6%</t>
  </si>
  <si>
    <t>5.1%</t>
  </si>
  <si>
    <t>2.2%</t>
  </si>
  <si>
    <t>Documento (DOC)</t>
  </si>
  <si>
    <t>TOTALE DOCUMENTI</t>
  </si>
  <si>
    <t>100%</t>
  </si>
  <si>
    <t>DISTRIBUZIONE PER FUNZIONE FNCS</t>
  </si>
  <si>
    <t>Documenti</t>
  </si>
  <si>
    <t>DISTRIBUZIONE PER PRIORITÀ</t>
  </si>
  <si>
    <t>Priorità</t>
  </si>
  <si>
    <t>Note</t>
  </si>
  <si>
    <t>Obbligatori per conformità normativa</t>
  </si>
  <si>
    <t>Raccomandati per best practice</t>
  </si>
  <si>
    <t>BASSA</t>
  </si>
  <si>
    <t>Per maturità avanzata</t>
  </si>
  <si>
    <t>POL</t>
  </si>
  <si>
    <t>PRC</t>
  </si>
  <si>
    <t>PRO</t>
  </si>
  <si>
    <t>LG)</t>
  </si>
  <si>
    <t>IO)</t>
  </si>
  <si>
    <t>MAN</t>
  </si>
  <si>
    <t>PLB</t>
  </si>
  <si>
    <t>PIA</t>
  </si>
  <si>
    <t>REG</t>
  </si>
  <si>
    <t>REP</t>
  </si>
  <si>
    <t>STATO</t>
  </si>
  <si>
    <t>Link</t>
  </si>
  <si>
    <t>Row Labels</t>
  </si>
  <si>
    <t>Grand Total</t>
  </si>
  <si>
    <t>01. GOVERNANCE E STRATEGIA</t>
  </si>
  <si>
    <t>02. GESTIONE DEL RISCHIO</t>
  </si>
  <si>
    <t>03. GESTIONE DEGLI ASSET</t>
  </si>
  <si>
    <t>04. CONTROLLO DEGLI ACCESSI</t>
  </si>
  <si>
    <t>05. PROTEZIONE DEI DATI</t>
  </si>
  <si>
    <t>06. SICUREZZA DELLE RETI</t>
  </si>
  <si>
    <t>07. SICUREZZA ENDPOINT</t>
  </si>
  <si>
    <t>08. GESTIONE VULNERABILITÀ</t>
  </si>
  <si>
    <t>09. CHANGE MANAGEMENT</t>
  </si>
  <si>
    <t>Column Labels</t>
  </si>
  <si>
    <t>ORDINE</t>
  </si>
  <si>
    <t>Istruzione Operativa</t>
  </si>
  <si>
    <t>Manuale Operativo</t>
  </si>
  <si>
    <t>Count of COD.DOC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</si>
</sst>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F1948A"/>
        <bgColor rgb="FFF1948A"/>
      </patternFill>
    </fill>
    <fill>
      <patternFill patternType="solid">
        <fgColor rgb="FFF9E79F"/>
        <bgColor rgb="FFF9E79F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ABEBC6"/>
        <bgColor rgb="FFABEBC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4" fillId="7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Iannetti" refreshedDate="46038.686688773145" createdVersion="8" refreshedVersion="8" minRefreshableVersion="3" recordCount="138" xr:uid="{C4F956A7-198E-4FE5-8E24-9A7B179C9513}">
  <cacheSource type="worksheet">
    <worksheetSource ref="A1:K1048576" sheet="INDICE DOCUMENTALE"/>
  </cacheSource>
  <cacheFields count="10">
    <cacheField name="PROCESSO" numFmtId="0">
      <sharedItems containsBlank="1" count="30">
        <s v="01. GOVERNANCE E STRATEGIA"/>
        <s v="02. GESTIONE DEL RISCHIO"/>
        <s v="03. GESTIONE DEGLI ASSET"/>
        <s v="04. CONTROLLO DEGLI ACCESSI"/>
        <s v="05. PROTEZIONE DEI DATI"/>
        <s v="06. SICUREZZA DELLE RETI"/>
        <s v="07. SICUREZZA ENDPOINT"/>
        <s v="08. GESTIONE VULNERABILITÀ"/>
        <s v="09. CHANGE MANAGEMENT"/>
        <s v="10. SICUREZZA APPLICATIVA"/>
        <s v="11. SICUREZZA FISICA"/>
        <s v="12. MONITORAGGIO E DETECTION"/>
        <s v="13. INCIDENT MANAGEMENT"/>
        <s v="14. CONTINUITÀ OPERATIVA"/>
        <s v="15. THREAT INTELLIGENCE"/>
        <s v="16. FORMAZIONE E AWARENESS"/>
        <s v="17. GESTIONE FORNITORI"/>
        <s v="18. COMPLIANCE E AUDIT"/>
        <s v="19. RISORSE UMANE"/>
        <s v="20. MIGLIORAMENTO CONTINUO"/>
        <m/>
        <s v="1. GOVERNANCE E STRATEGIA" u="1"/>
        <s v="2. GESTIONE DEL RISCHIO" u="1"/>
        <s v="3. GESTIONE DEGLI ASSET" u="1"/>
        <s v="4. CONTROLLO DEGLI ACCESSI" u="1"/>
        <s v="5. PROTEZIONE DEI DATI" u="1"/>
        <s v="6. SICUREZZA DELLE RETI" u="1"/>
        <s v="7. SICUREZZA ENDPOINT" u="1"/>
        <s v="8. GESTIONE VULNERABILITÀ" u="1"/>
        <s v="9. CHANGE MANAGEMENT" u="1"/>
      </sharedItems>
    </cacheField>
    <cacheField name="COD.DOC" numFmtId="0">
      <sharedItems containsBlank="1"/>
    </cacheField>
    <cacheField name="TITOLO DOCUMENTO" numFmtId="0">
      <sharedItems containsBlank="1"/>
    </cacheField>
    <cacheField name="TIPOLOGIA" numFmtId="0">
      <sharedItems containsBlank="1" count="11">
        <s v="Policy"/>
        <s v="Documento"/>
        <s v="Registro"/>
        <s v="Piano"/>
        <s v="Processo"/>
        <s v="Report"/>
        <s v="Procedura"/>
        <s v="Linea Guida"/>
        <s v="Manuale"/>
        <s v="Playbook"/>
        <m/>
      </sharedItems>
    </cacheField>
    <cacheField name="FUNZIONE FNCS" numFmtId="0">
      <sharedItems containsBlank="1"/>
    </cacheField>
    <cacheField name="NOTE" numFmtId="0">
      <sharedItems containsBlank="1"/>
    </cacheField>
    <cacheField name="REQUISITI E FONTI" numFmtId="0">
      <sharedItems containsBlank="1"/>
    </cacheField>
    <cacheField name="PRIORITÀ" numFmtId="0">
      <sharedItems containsBlank="1"/>
    </cacheField>
    <cacheField name="STATO" numFmtId="0">
      <sharedItems containsNonDate="0" containsString="0" containsBlank="1"/>
    </cacheField>
    <cacheField name="Lin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s v="POL-001"/>
    <s v="Policy di Sicurezza delle Informazioni"/>
    <x v="0"/>
    <s v="GV"/>
    <s v="Documento apicale che definisce principi e obiettivi di sicurezza. Approvazione organi direttivi"/>
    <s v="ISO27001:5.2, A.5.1 | NIS2:Art.20 | L90/2024:Art.8 | ACN-DET:GV.OC-01 | FNCS:GV.PO"/>
    <s v="ALTA"/>
    <m/>
    <m/>
  </r>
  <r>
    <x v="0"/>
    <s v="POL-002"/>
    <s v="Politica di Gestione del Rischio Cyber"/>
    <x v="0"/>
    <s v="GV"/>
    <s v="Definisce approccio, criteri e tolleranza al rischio dell'organizzazione"/>
    <s v="ISO27001:6.1.2 | NIS2:Art.21 | FNCS:GV.RM | ACN-DET:GV.RM-01 | NIST:GV.RM"/>
    <s v="ALTA"/>
    <m/>
    <m/>
  </r>
  <r>
    <x v="0"/>
    <s v="POL-003"/>
    <s v="Politica di Sicurezza della Supply Chain"/>
    <x v="0"/>
    <s v="GV/ID"/>
    <s v="Requisiti di sicurezza per fornitori e terze parti"/>
    <s v="ISO27001:A.5.19-5.23 | NIS2:Art.21(2)(d) | FNCS:GV.SC | ACN-DET:ID.SC-01"/>
    <s v="ALTA"/>
    <m/>
    <m/>
  </r>
  <r>
    <x v="0"/>
    <s v="DOC-001"/>
    <s v="Documento Ruoli e Organizzazione Sicurezza"/>
    <x v="1"/>
    <s v="GV"/>
    <s v="Organigramma, ruoli, responsabilità e deleghe per la sicurezza"/>
    <s v="ISO27001:5.3 | L90/2024:Art.8(c) | NIS2:Art.20 | ACN-DET:GV.RR-01 | FNCS:GV.RR"/>
    <s v="ALTA"/>
    <m/>
    <m/>
  </r>
  <r>
    <x v="0"/>
    <s v="REG-001"/>
    <s v="Registro degli Stakeholder Sicurezza"/>
    <x v="2"/>
    <s v="GV"/>
    <s v="Elenco parti interessate interne/esterne e relative aspettative"/>
    <s v="ISO27001:4.2 | FNCS:GV.OC-02"/>
    <s v="MEDIA"/>
    <m/>
    <m/>
  </r>
  <r>
    <x v="0"/>
    <s v="PIA-001"/>
    <s v="Piano Programmatico Sicurezza ICT"/>
    <x v="3"/>
    <s v="GV"/>
    <s v="Piano pluriennale sicurezza dati, sistemi e infrastrutture"/>
    <s v="L90/2024:Art.8(d) | NIS2:Art.21 | FNCS:GV.PO | ACN-DET:GV.PO-01"/>
    <s v="ALTA"/>
    <m/>
    <m/>
  </r>
  <r>
    <x v="0"/>
    <s v="PRC-001"/>
    <s v="Processo di Governance della Sicurezza"/>
    <x v="4"/>
    <s v="GV"/>
    <s v="Comitato sicurezza, riunioni, escalation, reporting direzionale"/>
    <s v="ISO27001:5.1 | NIS2:Art.20 | FNCS:GV.OV"/>
    <s v="ALTA"/>
    <m/>
    <m/>
  </r>
  <r>
    <x v="0"/>
    <s v="REP-001"/>
    <s v="Report Periodico alla Direzione"/>
    <x v="5"/>
    <s v="GV"/>
    <s v="Report su stato sicurezza, KPI, incidenti, rischi per organi direttivi"/>
    <s v="ISO27001:9.3 | NIS2:Art.20(2) | FNCS:GV.OV-02"/>
    <s v="ALTA"/>
    <m/>
    <m/>
  </r>
  <r>
    <x v="1"/>
    <s v="PRC-002"/>
    <s v="Processo di Risk Assessment"/>
    <x v="4"/>
    <s v="ID"/>
    <s v="Metodologia identificazione, analisi e valutazione rischi cyber"/>
    <s v="ISO27001:6.1.2, 8.2 | NIS2:Art.21 | FNCS:ID.RA | ACN-DET:ID.RA-01 | AgID-MM:4"/>
    <s v="ALTA"/>
    <m/>
    <m/>
  </r>
  <r>
    <x v="1"/>
    <s v="PRO-001"/>
    <s v="Procedura di Analisi del Rischio"/>
    <x v="6"/>
    <s v="ID"/>
    <s v="Modalità operative per conduzione risk assessment"/>
    <s v="ISO27001:6.1.2 | NIS2:Art.21(2)(a) | FNCS:ID.RA | NIST:ID.RA"/>
    <s v="ALTA"/>
    <m/>
    <m/>
  </r>
  <r>
    <x v="1"/>
    <s v="REG-002"/>
    <s v="Registro dei Rischi Cyber"/>
    <x v="2"/>
    <s v="ID"/>
    <s v="Catalogo rischi identificati con impatto, probabilità, trattamento"/>
    <s v="ISO27001:6.1.2 | NIS2:Art.21 | FNCS:ID.RA-05 | ACN-DET:ID.RA-02"/>
    <s v="ALTA"/>
    <m/>
    <m/>
  </r>
  <r>
    <x v="1"/>
    <s v="PIA-002"/>
    <s v="Piano di Trattamento del Rischio"/>
    <x v="3"/>
    <s v="ID"/>
    <s v="Azioni di mitigazione, responsabili, tempistiche, risorse"/>
    <s v="ISO27001:6.1.3, 6.2 | NIS2:Art.21 | FNCS:ID.RA-06 | ACN-DET:ID.RA-03"/>
    <s v="ALTA"/>
    <m/>
    <m/>
  </r>
  <r>
    <x v="1"/>
    <s v="DOC-002"/>
    <s v="Statement of Applicability (SoA)"/>
    <x v="1"/>
    <s v="ID"/>
    <s v="Dichiarazione controlli applicabili e giustificazione esclusioni"/>
    <s v="ISO27001:6.1.3(d) | FNCS:ID.RA-06"/>
    <s v="ALTA"/>
    <m/>
    <m/>
  </r>
  <r>
    <x v="1"/>
    <s v="PRO-002"/>
    <s v="Procedura Gestione Rischio Residuo"/>
    <x v="6"/>
    <s v="ID"/>
    <s v="Criteri accettazione rischio, approvazione e monitoraggio"/>
    <s v="ISO27001:6.1.3 | FNCS:GV.RM-05"/>
    <s v="MEDIA"/>
    <m/>
    <m/>
  </r>
  <r>
    <x v="2"/>
    <s v="POL-004"/>
    <s v="Politica di Classificazione delle Informazioni"/>
    <x v="0"/>
    <s v="ID/PR"/>
    <s v="Livelli classificazione, criteri, etichettatura, trattamento"/>
    <s v="ISO27001:A.5.12-5.13 | FNCS:ID.AM-08 | GDPR:Art.32"/>
    <s v="ALTA"/>
    <m/>
    <m/>
  </r>
  <r>
    <x v="2"/>
    <s v="PRC-003"/>
    <s v="Processo di Asset Management"/>
    <x v="4"/>
    <s v="ID"/>
    <s v="Gestione ciclo vita asset hardware, software, informazioni"/>
    <s v="ISO27001:A.5.9-5.11 | NIS2:Art.21(2)(i) | FNCS:ID.AM | ACN-DET:ID.AM-01 | AgID-MM:1,2"/>
    <s v="ALTA"/>
    <m/>
    <m/>
  </r>
  <r>
    <x v="2"/>
    <s v="REG-003"/>
    <s v="Inventario Asset Hardware"/>
    <x v="2"/>
    <s v="ID"/>
    <s v="Elenco completo dispositivi autorizzati e non autorizzati"/>
    <s v="ISO27001:A.5.9 | FNCS:ID.AM-01 | ACN-DET:ID.AM-02 | AgID-MM:ABSC1 | CIS:1"/>
    <s v="ALTA"/>
    <m/>
    <m/>
  </r>
  <r>
    <x v="2"/>
    <s v="REG-004"/>
    <s v="Inventario Asset Software"/>
    <x v="2"/>
    <s v="ID"/>
    <s v="Catalogo software autorizzato con versioni e licenze"/>
    <s v="ISO27001:A.5.9 | FNCS:ID.AM-02 | ACN-DET:ID.AM-03 | AgID-MM:ABSC2 | CIS:2"/>
    <s v="ALTA"/>
    <m/>
    <m/>
  </r>
  <r>
    <x v="2"/>
    <s v="REG-005"/>
    <s v="Registro dei Servizi ICT"/>
    <x v="2"/>
    <s v="ID"/>
    <s v="Mappatura servizi, dipendenze, criticità, owner"/>
    <s v="ISO27001:A.5.9 | NIS2:Art.21(2)(i) | FNCS:ID.AM-05 | ACN-DET:ID.AM-04"/>
    <s v="ALTA"/>
    <m/>
    <m/>
  </r>
  <r>
    <x v="2"/>
    <s v="REG-006"/>
    <s v="Registro dei Dati e Flussi Informativi"/>
    <x v="2"/>
    <s v="ID"/>
    <s v="Catalogo dati trattati, flussi, classificazione, retention"/>
    <s v="FNCS:ID.AM-06 | GDPR:Art.30 | ACN-DET:ID.AM-05"/>
    <s v="ALTA"/>
    <m/>
    <m/>
  </r>
  <r>
    <x v="2"/>
    <s v="PRO-003"/>
    <s v="Procedura Gestione Ciclo Vita Asset"/>
    <x v="6"/>
    <s v="ID"/>
    <s v="Acquisizione, censimento, modifica, dismissione asset"/>
    <s v="ISO27001:A.5.9-5.11 | FNCS:ID.AM-07 | ACN-DET:ID.AM-06"/>
    <s v="MEDIA"/>
    <m/>
    <m/>
  </r>
  <r>
    <x v="2"/>
    <s v="PRO-004"/>
    <s v="Procedura di Dismissione Sicura"/>
    <x v="6"/>
    <s v="ID/PR"/>
    <s v="Sanitizzazione, cancellazione sicura, smaltimento RAEE"/>
    <s v="ISO27001:A.5.11, A.7.14 | FNCS:PR.DS-03 | ACN-DET:PR.DS-01"/>
    <s v="ALTA"/>
    <m/>
    <m/>
  </r>
  <r>
    <x v="3"/>
    <s v="POL-005"/>
    <s v="Politica di Controllo degli Accessi"/>
    <x v="0"/>
    <s v="PR"/>
    <s v="Principi autorizzazione, autenticazione, need-to-know"/>
    <s v="ISO27001:A.5.15-5.18 | NIS2:Art.21(2)(i) | FNCS:PR.AA | ACN-DET:PR.AA-01"/>
    <s v="ALTA"/>
    <m/>
    <m/>
  </r>
  <r>
    <x v="3"/>
    <s v="PRC-004"/>
    <s v="Processo Identity &amp; Access Management"/>
    <x v="4"/>
    <s v="PR"/>
    <s v="Gestione identità digitali e ciclo vita accessi"/>
    <s v="ISO27001:A.5.16-5.18 | FNCS:PR.AA | ACN-DET:PR.AA-02 | CIS:5,6"/>
    <s v="ALTA"/>
    <m/>
    <m/>
  </r>
  <r>
    <x v="3"/>
    <s v="PRO-005"/>
    <s v="Procedura Provisioning/Deprovisioning Utenze"/>
    <x v="6"/>
    <s v="PR"/>
    <s v="Creazione, modifica, revoca account e permessi"/>
    <s v="ISO27001:A.5.16 | FNCS:PR.AA-01 | ACN-DET:PR.AA-03"/>
    <s v="ALTA"/>
    <m/>
    <m/>
  </r>
  <r>
    <x v="3"/>
    <s v="PRO-006"/>
    <s v="Procedura Gestione Accessi Privilegiati"/>
    <x v="6"/>
    <s v="PR"/>
    <s v="PAM, account amministrativi, logging, rotazione credenziali"/>
    <s v="ISO27001:A.5.18, A.8.2 | FNCS:PR.AA-05 | ACN-DET:PR.AA-04 | AgID-MM:ABSC5 | CIS:6"/>
    <s v="ALTA"/>
    <m/>
    <m/>
  </r>
  <r>
    <x v="3"/>
    <s v="PRO-007"/>
    <s v="Procedura Accesso Remoto Sicuro"/>
    <x v="6"/>
    <s v="PR"/>
    <s v="VPN, MFA, controlli accesso da remoto"/>
    <s v="ISO27001:A.5.18, A.8.1 | FNCS:PR.AA-06 | ACN-DET:PR.AA-05"/>
    <s v="ALTA"/>
    <m/>
    <m/>
  </r>
  <r>
    <x v="3"/>
    <s v="PRO-008"/>
    <s v="Procedura Gestione Credenziali e Password"/>
    <x v="6"/>
    <s v="PR"/>
    <s v="Complessità, scadenza, conservazione, MFA"/>
    <s v="ISO27001:A.5.17 | FNCS:PR.AA-03 | ACN-DET:PR.AA-06"/>
    <s v="ALTA"/>
    <m/>
    <m/>
  </r>
  <r>
    <x v="3"/>
    <s v="REG-007"/>
    <s v="Registro Accessi Privilegiati"/>
    <x v="2"/>
    <s v="PR/DE"/>
    <s v="Log account amministrativi, audit trail"/>
    <s v="ISO27001:A.8.15 | FNCS:PR.AA-05 | ACN-DET:PR.AA-07 | AgID-MM:ABSC5"/>
    <s v="ALTA"/>
    <m/>
    <m/>
  </r>
  <r>
    <x v="3"/>
    <s v="LG-001"/>
    <s v="Linee Guida Autenticazione Multi-Fattore"/>
    <x v="7"/>
    <s v="PR"/>
    <s v="Implementazione MFA per sistemi critici"/>
    <s v="ISO27001:A.5.17 | FNCS:PR.AA-03 | ACN-DET:PR.AA-08 | NIST:PR.AA"/>
    <s v="MEDIA"/>
    <m/>
    <m/>
  </r>
  <r>
    <x v="4"/>
    <s v="POL-006"/>
    <s v="Politica di Protezione dei Dati"/>
    <x v="0"/>
    <s v="PR"/>
    <s v="Principi protezione dati, cifratura, integrità, disponibilità"/>
    <s v="GDPR:Art.5,24,32 | ISO27001:A.5.33-5.36 | FNCS:PR.DS | NIS2:Art.21(2)(d)"/>
    <s v="ALTA"/>
    <m/>
    <m/>
  </r>
  <r>
    <x v="4"/>
    <s v="POL-007"/>
    <s v="Politica Crittografica"/>
    <x v="0"/>
    <s v="PR"/>
    <s v="Standard cifratura, gestione chiavi, algoritmi approvati"/>
    <s v="ISO27001:A.8.24 | FNCS:PR.DS-02 | ACN-DET:PR.DS-02 | NIST:PR.DS"/>
    <s v="ALTA"/>
    <m/>
    <m/>
  </r>
  <r>
    <x v="4"/>
    <s v="PRC-005"/>
    <s v="Processo Gestione Chiavi Crittografiche"/>
    <x v="4"/>
    <s v="PR"/>
    <s v="Generazione, distribuzione, custodia, rotazione, distruzione chiavi"/>
    <s v="ISO27001:A.8.24 | FNCS:PR.DS-02 | ACN-DET:PR.DS-03"/>
    <s v="ALTA"/>
    <m/>
    <m/>
  </r>
  <r>
    <x v="4"/>
    <s v="PRO-009"/>
    <s v="Procedura Cifratura Dati at Rest"/>
    <x v="6"/>
    <s v="PR"/>
    <s v="Cifratura storage, database, backup"/>
    <s v="ISO27001:A.8.24 | FNCS:PR.DS-02 | ACN-DET:PR.DS-04 | GDPR:Art.32"/>
    <s v="ALTA"/>
    <m/>
    <m/>
  </r>
  <r>
    <x v="4"/>
    <s v="PRO-010"/>
    <s v="Procedura Cifratura Dati in Transit"/>
    <x v="6"/>
    <s v="PR"/>
    <s v="TLS, VPN, protocolli sicuri per trasmissione dati"/>
    <s v="ISO27001:A.8.24 | FNCS:PR.DS-02 | ACN-DET:PR.DS-05"/>
    <s v="ALTA"/>
    <m/>
    <m/>
  </r>
  <r>
    <x v="4"/>
    <s v="PRO-011"/>
    <s v="Procedura Backup e Restore"/>
    <x v="6"/>
    <s v="PR/RC"/>
    <s v="Politiche backup, frequenza, test restore, conservazione offsite"/>
    <s v="ISO27001:A.8.13 | NIS2:Art.21(2)(c) | FNCS:PR.DS-11 | ACN-DET:PR.DS-06 | AgID-MM:ABSC10 | CIS:11"/>
    <s v="ALTA"/>
    <m/>
    <m/>
  </r>
  <r>
    <x v="4"/>
    <s v="PRO-012"/>
    <s v="Procedura Data Loss Prevention"/>
    <x v="6"/>
    <s v="PR"/>
    <s v="Controlli prevenzione perdita dati sensibili"/>
    <s v="ISO27001:A.8.12 | FNCS:PR.DS-05 | ACN-DET:PR.DS-07"/>
    <s v="MEDIA"/>
    <m/>
    <m/>
  </r>
  <r>
    <x v="4"/>
    <s v="REG-008"/>
    <s v="Registro Trattamenti Dati Personali"/>
    <x v="2"/>
    <s v="ID/PR"/>
    <s v="Registro trattamenti ex GDPR"/>
    <s v="GDPR:Art.30 | FNCS:ID.AM-06"/>
    <s v="ALTA"/>
    <m/>
    <m/>
  </r>
  <r>
    <x v="5"/>
    <s v="POL-008"/>
    <s v="Politica di Sicurezza delle Reti"/>
    <x v="0"/>
    <s v="PR"/>
    <s v="Segmentazione, protezione perimetrale, accesso rete"/>
    <s v="ISO27001:A.8.20-8.23 | FNCS:PR.IR | ACN-DET:PR.IR-01 | NIS2:Art.21(2)(e)"/>
    <s v="ALTA"/>
    <m/>
    <m/>
  </r>
  <r>
    <x v="5"/>
    <s v="PRC-006"/>
    <s v="Processo di Network Security Management"/>
    <x v="4"/>
    <s v="PR"/>
    <s v="Gestione firewall, IDS/IPS, segmentazione, DMZ"/>
    <s v="ISO27001:A.8.20-8.22 | FNCS:PR.IR | ACN-DET:PR.IR-02"/>
    <s v="ALTA"/>
    <m/>
    <m/>
  </r>
  <r>
    <x v="5"/>
    <s v="PRO-013"/>
    <s v="Procedura Gestione Firewall"/>
    <x v="6"/>
    <s v="PR"/>
    <s v="Configurazione, rule management, change control"/>
    <s v="ISO27001:A.8.20 | FNCS:PR.IR-01 | ACN-DET:PR.IR-03 | CIS:12"/>
    <s v="ALTA"/>
    <m/>
    <m/>
  </r>
  <r>
    <x v="5"/>
    <s v="PRO-014"/>
    <s v="Procedura Segmentazione di Rete"/>
    <x v="6"/>
    <s v="PR"/>
    <s v="VLAN, microsegmentazione, isolamento zone critiche"/>
    <s v="ISO27001:A.8.22 | FNCS:PR.IR-02 | ACN-DET:PR.IR-04 | CIS:12"/>
    <s v="ALTA"/>
    <m/>
    <m/>
  </r>
  <r>
    <x v="5"/>
    <s v="PRO-015"/>
    <s v="Procedura Sicurezza Reti Wireless"/>
    <x v="6"/>
    <s v="PR"/>
    <s v="WPA3, RADIUS, guest network, monitoring"/>
    <s v="ISO27001:A.8.20 | FNCS:PR.IR-03 | ACN-DET:PR.IR-05 | CIS:12"/>
    <s v="MEDIA"/>
    <m/>
    <m/>
  </r>
  <r>
    <x v="5"/>
    <s v="PRO-016"/>
    <s v="Procedura Anti-DDoS"/>
    <x v="6"/>
    <s v="PR/DE"/>
    <s v="Mitigazione attacchi volumetrici, CDN, scrubbing"/>
    <s v="NIS2:Art.21(2)(e) | FNCS:PR.IR-04 | ACN-DET:PR.IR-06"/>
    <s v="ALTA"/>
    <m/>
    <m/>
  </r>
  <r>
    <x v="5"/>
    <s v="DOC-003"/>
    <s v="Diagramma Architettura di Rete"/>
    <x v="1"/>
    <s v="ID/PR"/>
    <s v="Schema topologia, zone sicurezza, flussi di rete"/>
    <s v="ISO27001:A.5.9 | FNCS:ID.AM-04 | ACN-DET:ID.AM-07"/>
    <s v="ALTA"/>
    <m/>
    <m/>
  </r>
  <r>
    <x v="5"/>
    <s v="REG-009"/>
    <s v="Registro Regole Firewall"/>
    <x v="2"/>
    <s v="PR"/>
    <s v="Documentazione rule base con giustificazioni"/>
    <s v="ISO27001:A.8.20 | FNCS:PR.IR-01 | ACN-DET:PR.IR-07"/>
    <s v="MEDIA"/>
    <m/>
    <m/>
  </r>
  <r>
    <x v="6"/>
    <s v="POL-009"/>
    <s v="Politica Sicurezza Endpoint"/>
    <x v="0"/>
    <s v="PR"/>
    <s v="Standard sicurezza per workstation, laptop, mobile"/>
    <s v="ISO27001:A.8.1 | FNCS:PR.PS | ACN-DET:PR.PS-01"/>
    <s v="ALTA"/>
    <m/>
    <m/>
  </r>
  <r>
    <x v="6"/>
    <s v="PRC-007"/>
    <s v="Processo Endpoint Protection"/>
    <x v="4"/>
    <s v="PR/DE"/>
    <s v="Antimalware, EDR, hardening, patch management"/>
    <s v="ISO27001:A.8.7 | FNCS:PR.PS | ACN-DET:PR.PS-02 | AgID-MM:ABSC3,8 | CIS:4,10"/>
    <s v="ALTA"/>
    <m/>
    <m/>
  </r>
  <r>
    <x v="6"/>
    <s v="PRO-017"/>
    <s v="Procedura Hardening Sistemi"/>
    <x v="6"/>
    <s v="PR"/>
    <s v="Baseline configurazione sicura, CIS Benchmarks"/>
    <s v="ISO27001:A.8.9 | FNCS:PR.PS-01 | ACN-DET:PR.PS-03 | AgID-MM:ABSC3 | CIS:4"/>
    <s v="ALTA"/>
    <m/>
    <m/>
  </r>
  <r>
    <x v="6"/>
    <s v="PRO-018"/>
    <s v="Procedura Gestione Antimalware"/>
    <x v="6"/>
    <s v="PR/DE"/>
    <s v="Deployment, aggiornamento, gestione alert"/>
    <s v="ISO27001:A.8.7 | FNCS:PR.PS-02 | ACN-DET:PR.PS-04 | AgID-MM:ABSC8 | CIS:10"/>
    <s v="ALTA"/>
    <m/>
    <m/>
  </r>
  <r>
    <x v="6"/>
    <s v="PRO-019"/>
    <s v="Procedura Mobile Device Management"/>
    <x v="6"/>
    <s v="PR"/>
    <s v="MDM, BYOD policy, containerizzazione"/>
    <s v="ISO27001:A.8.1 | FNCS:PR.PS-03 | ACN-DET:PR.PS-05"/>
    <s v="ALTA"/>
    <m/>
    <m/>
  </r>
  <r>
    <x v="6"/>
    <s v="LG-002"/>
    <s v="Linee Guida Configurazione Sicura Windows"/>
    <x v="7"/>
    <s v="PR"/>
    <s v="Hardening Windows client/server"/>
    <s v="CIS Benchmarks | FNCS:PR.PS-01 | ACN-DET:PR.PS-06"/>
    <s v="MEDIA"/>
    <m/>
    <m/>
  </r>
  <r>
    <x v="6"/>
    <s v="LG-003"/>
    <s v="Linee Guida Configurazione Sicura Linux"/>
    <x v="7"/>
    <s v="PR"/>
    <s v="Hardening sistemi Linux"/>
    <s v="CIS Benchmarks | FNCS:PR.PS-01 | ACN-DET:PR.PS-07"/>
    <s v="MEDIA"/>
    <m/>
    <m/>
  </r>
  <r>
    <x v="7"/>
    <s v="PRC-008"/>
    <s v="Processo Vulnerability Management"/>
    <x v="4"/>
    <s v="ID/PR"/>
    <s v="Identificazione, valutazione, remediation vulnerabilità"/>
    <s v="ISO27001:A.8.8 | NIS2:Art.21(2)(e) | FNCS:ID.RA-01 | ACN-DET:ID.RA-04 | AgID-MM:ABSC4 | CIS:7"/>
    <s v="ALTA"/>
    <m/>
    <m/>
  </r>
  <r>
    <x v="7"/>
    <s v="PRO-020"/>
    <s v="Procedura Vulnerability Assessment"/>
    <x v="6"/>
    <s v="ID"/>
    <s v="Scansioni periodiche, strumenti, scope, reporting"/>
    <s v="ISO27001:A.8.8 | FNCS:ID.RA-01 | ACN-DET:ID.RA-05 | AgID-MM:ABSC4"/>
    <s v="ALTA"/>
    <m/>
    <m/>
  </r>
  <r>
    <x v="7"/>
    <s v="PRO-021"/>
    <s v="Procedura Penetration Testing"/>
    <x v="6"/>
    <s v="ID"/>
    <s v="Pen test periodici, metodologia, regole ingaggio"/>
    <s v="ISO27001:A.8.8 | FNCS:ID.RA-02 | ACN-DET:ID.RA-06"/>
    <s v="MEDIA"/>
    <m/>
    <m/>
  </r>
  <r>
    <x v="7"/>
    <s v="PRO-022"/>
    <s v="Procedura Patch Management"/>
    <x v="6"/>
    <s v="PR"/>
    <s v="Identificazione, test, deploy, verifica patch"/>
    <s v="ISO27001:A.8.8, A.8.19 | FNCS:PR.PS-04 | ACN-DET:PR.PS-08 | AgID-MM:ABSC4 | CIS:7"/>
    <s v="ALTA"/>
    <m/>
    <m/>
  </r>
  <r>
    <x v="7"/>
    <s v="PRO-023"/>
    <s v="Procedura Responsible Disclosure"/>
    <x v="6"/>
    <s v="ID/RS"/>
    <s v="Gestione segnalazioni vulnerabilità da esterni"/>
    <s v="NIS2:Art.21(2)(e) | FNCS:ID.RA-03 | ACN-DET:ID.RA-07"/>
    <s v="MEDIA"/>
    <m/>
    <m/>
  </r>
  <r>
    <x v="7"/>
    <s v="REG-010"/>
    <s v="Registro delle Vulnerabilità"/>
    <x v="2"/>
    <s v="ID"/>
    <s v="Tracking vulnerabilità, stato remediation, SLA"/>
    <s v="ISO27001:A.8.8 | FNCS:ID.RA-05 | ACN-DET:ID.RA-08"/>
    <s v="ALTA"/>
    <m/>
    <m/>
  </r>
  <r>
    <x v="8"/>
    <s v="PRC-009"/>
    <s v="Processo di Change Management"/>
    <x v="4"/>
    <s v="PR"/>
    <s v="Gestione cambiamenti a sistemi e configurazioni"/>
    <s v="ISO27001:A.8.32 | FNCS:PR.IP-03 | ACN-DET:PR.IP-01 | ITIL"/>
    <s v="ALTA"/>
    <m/>
    <m/>
  </r>
  <r>
    <x v="8"/>
    <s v="PRO-024"/>
    <s v="Procedura Richiesta e Approvazione Change"/>
    <x v="6"/>
    <s v="PR"/>
    <s v="RFC, valutazione impatto, CAB, approvazione"/>
    <s v="ISO27001:A.8.32 | FNCS:PR.IP-03 | ACN-DET:PR.IP-02"/>
    <s v="ALTA"/>
    <m/>
    <m/>
  </r>
  <r>
    <x v="8"/>
    <s v="PRO-025"/>
    <s v="Procedura Emergency Change"/>
    <x v="6"/>
    <s v="PR/RS"/>
    <s v="Gestione change urgenti con iter accelerato"/>
    <s v="ISO27001:A.8.32 | FNCS:PR.IP-03 | ACN-DET:PR.IP-03"/>
    <s v="ALTA"/>
    <m/>
    <m/>
  </r>
  <r>
    <x v="8"/>
    <s v="REG-011"/>
    <s v="Registro dei Change"/>
    <x v="2"/>
    <s v="PR"/>
    <s v="Storico modifiche con esiti e rollback"/>
    <s v="ISO27001:A.8.32 | FNCS:PR.IP-03"/>
    <s v="MEDIA"/>
    <m/>
    <m/>
  </r>
  <r>
    <x v="9"/>
    <s v="POL-010"/>
    <s v="Politica Sviluppo Software Sicuro"/>
    <x v="0"/>
    <s v="PR"/>
    <s v="SSDLC, security by design, code review"/>
    <s v="ISO27001:A.8.25-8.31 | FNCS:PR.PS-06 | ACN-DET:PR.PS-09 | AgID:LG Sviluppo Sicuro"/>
    <s v="ALTA"/>
    <m/>
    <m/>
  </r>
  <r>
    <x v="9"/>
    <s v="PRC-010"/>
    <s v="Processo Secure SDLC"/>
    <x v="4"/>
    <s v="PR"/>
    <s v="Sicurezza in ogni fase del ciclo sviluppo"/>
    <s v="ISO27001:A.8.25-8.31 | FNCS:PR.PS-06 | ACN-DET:PR.PS-10"/>
    <s v="ALTA"/>
    <m/>
    <m/>
  </r>
  <r>
    <x v="9"/>
    <s v="PRO-026"/>
    <s v="Procedura Security Requirements"/>
    <x v="6"/>
    <s v="PR"/>
    <s v="Definizione requisiti sicurezza in fase analisi"/>
    <s v="ISO27001:A.8.25 | FNCS:PR.PS-06 | ACN-DET:PR.PS-11"/>
    <s v="ALTA"/>
    <m/>
    <m/>
  </r>
  <r>
    <x v="9"/>
    <s v="PRO-027"/>
    <s v="Procedura Code Review Sicurezza"/>
    <x v="6"/>
    <s v="PR"/>
    <s v="Review codice, SAST, DAST"/>
    <s v="ISO27001:A.8.28 | FNCS:PR.PS-06 | ACN-DET:PR.PS-12"/>
    <s v="MEDIA"/>
    <m/>
    <m/>
  </r>
  <r>
    <x v="9"/>
    <s v="PRO-028"/>
    <s v="Procedura Gestione Ambienti di Test"/>
    <x v="6"/>
    <s v="PR"/>
    <s v="Separazione ambienti, dati test anonimizzati"/>
    <s v="ISO27001:A.8.31 | FNCS:PR.PS-06 | ACN-DET:PR.PS-13"/>
    <s v="MEDIA"/>
    <m/>
    <m/>
  </r>
  <r>
    <x v="9"/>
    <s v="LG-004"/>
    <s v="Linee Guida Secure Coding"/>
    <x v="7"/>
    <s v="PR"/>
    <s v="Best practice sviluppo sicuro, OWASP Top 10"/>
    <s v="OWASP | AgID:LG Sviluppo Sicuro | FNCS:PR.PS-06 | ACN-DET:PR.PS-14"/>
    <s v="MEDIA"/>
    <m/>
    <m/>
  </r>
  <r>
    <x v="9"/>
    <s v="LG-005"/>
    <s v="Linee Guida API Security"/>
    <x v="7"/>
    <s v="PR"/>
    <s v="Sicurezza API REST, autenticazione, rate limiting"/>
    <s v="OWASP API Security | FNCS:PR.PS-06"/>
    <s v="MEDIA"/>
    <m/>
    <m/>
  </r>
  <r>
    <x v="10"/>
    <s v="POL-011"/>
    <s v="Politica Sicurezza Fisica"/>
    <x v="0"/>
    <s v="PR"/>
    <s v="Controllo accessi fisici, aree sicure, protezione apparecchiature"/>
    <s v="ISO27001:A.7.1-7.14 | FNCS:PR.AC | ACN-DET:PR.AC-01"/>
    <s v="ALTA"/>
    <m/>
    <m/>
  </r>
  <r>
    <x v="10"/>
    <s v="PRO-029"/>
    <s v="Procedura Controllo Accessi Fisici"/>
    <x v="6"/>
    <s v="PR"/>
    <s v="Badge, registrazione visitatori, aree riservate"/>
    <s v="ISO27001:A.7.2-7.4 | FNCS:PR.AC-02 | ACN-DET:PR.AC-02"/>
    <s v="ALTA"/>
    <m/>
    <m/>
  </r>
  <r>
    <x v="10"/>
    <s v="PRO-030"/>
    <s v="Procedura Sicurezza Data Center"/>
    <x v="6"/>
    <s v="PR"/>
    <s v="Controlli ambientali, alimentazione, climatizzazione"/>
    <s v="ISO27001:A.7.5-7.8 | FNCS:PR.AC-03 | ACN-DET:PR.AC-03"/>
    <s v="ALTA"/>
    <m/>
    <m/>
  </r>
  <r>
    <x v="10"/>
    <s v="PRO-031"/>
    <s v="Procedura Clear Desk/Clear Screen"/>
    <x v="6"/>
    <s v="PR"/>
    <s v="Pulizia scrivanie, blocco schermo, documenti sensibili"/>
    <s v="ISO27001:A.7.7 | FNCS:PR.AC-04 | ACN-DET:PR.AC-04"/>
    <s v="MEDIA"/>
    <m/>
    <m/>
  </r>
  <r>
    <x v="10"/>
    <s v="REG-012"/>
    <s v="Registro Accessi Aree Sicure"/>
    <x v="2"/>
    <s v="PR/DE"/>
    <s v="Log ingressi/uscite aree critiche"/>
    <s v="ISO27001:A.7.2 | FNCS:PR.AC-02"/>
    <s v="MEDIA"/>
    <m/>
    <m/>
  </r>
  <r>
    <x v="11"/>
    <s v="POL-012"/>
    <s v="Politica di Logging e Monitoraggio"/>
    <x v="0"/>
    <s v="DE"/>
    <s v="Cosa loggare, retention, protezione log, monitoring"/>
    <s v="ISO27001:A.8.15-8.16 | NIS2:Art.21(2)(b) | FNCS:DE.CM | ACN-DET:DE.CM-01"/>
    <s v="ALTA"/>
    <m/>
    <m/>
  </r>
  <r>
    <x v="11"/>
    <s v="PRC-011"/>
    <s v="Processo Security Monitoring"/>
    <x v="4"/>
    <s v="DE"/>
    <s v="SOC operations, SIEM, threat detection"/>
    <s v="ISO27001:A.8.16 | FNCS:DE.CM | ACN-DET:DE.CM-02 | AgID-MM:ABSC8"/>
    <s v="ALTA"/>
    <m/>
    <m/>
  </r>
  <r>
    <x v="11"/>
    <s v="PRO-032"/>
    <s v="Procedura SIEM Event Monitoring"/>
    <x v="6"/>
    <s v="DE"/>
    <s v="Correlazione eventi, use case, tuning regole"/>
    <s v="ISO27001:A.8.16 | FNCS:DE.CM-01 | ACN-DET:DE.CM-03"/>
    <s v="ALTA"/>
    <m/>
    <m/>
  </r>
  <r>
    <x v="11"/>
    <s v="PRO-033"/>
    <s v="Procedura SOC Triage"/>
    <x v="6"/>
    <s v="DE"/>
    <s v="Classificazione alert, prioritizzazione, escalation"/>
    <s v="FNCS:DE.AE | ACN-DET:DE.AE-01"/>
    <s v="ALTA"/>
    <m/>
    <m/>
  </r>
  <r>
    <x v="11"/>
    <s v="PRO-034"/>
    <s v="Procedura Threat Hunting"/>
    <x v="6"/>
    <s v="DE"/>
    <s v="Ricerca proattiva minacce, IoC, TTPs"/>
    <s v="FNCS:DE.CM-06 | ACN-DET:DE.CM-04"/>
    <s v="MEDIA"/>
    <m/>
    <m/>
  </r>
  <r>
    <x v="11"/>
    <s v="PRO-035"/>
    <s v="Procedura Gestione Log"/>
    <x v="6"/>
    <s v="DE"/>
    <s v="Raccolta, normalizzazione, conservazione, protezione log"/>
    <s v="ISO27001:A.8.15 | FNCS:DE.CM-02 | ACN-DET:DE.CM-05 | AgID-MM:ABSC5"/>
    <s v="ALTA"/>
    <m/>
    <m/>
  </r>
  <r>
    <x v="11"/>
    <s v="LG-006"/>
    <s v="Linee Guida Logging Standard"/>
    <x v="7"/>
    <s v="DE"/>
    <s v="Cosa loggare, formato, timestamp, eventi critici"/>
    <s v="ISO27001:A.8.15 | FNCS:DE.CM-02 | ACN-DET:DE.CM-06"/>
    <s v="MEDIA"/>
    <m/>
    <m/>
  </r>
  <r>
    <x v="11"/>
    <s v="MAN-001"/>
    <s v="Manuale Operativo SOC"/>
    <x v="8"/>
    <s v="DE"/>
    <s v="Procedure operative analisti SOC, strumenti, workflow"/>
    <s v="FNCS:DE.CM | ACN-DET:DE.CM-07"/>
    <s v="ALTA"/>
    <m/>
    <m/>
  </r>
  <r>
    <x v="12"/>
    <s v="POL-013"/>
    <s v="Politica di Gestione Incidenti"/>
    <x v="0"/>
    <s v="RS"/>
    <s v="Principi gestione incidenti, ruoli, comunicazione"/>
    <s v="ISO27001:A.5.24-5.28 | NIS2:Art.21(2)(b),23 | L90/2024:Art.1 | FNCS:RS.MA | ACN-DET:RS.MA-01"/>
    <s v="ALTA"/>
    <m/>
    <m/>
  </r>
  <r>
    <x v="12"/>
    <s v="PRC-012"/>
    <s v="Processo di Incident Management"/>
    <x v="4"/>
    <s v="RS"/>
    <s v="Rilevazione, analisi, contenimento, eradicazione, recovery"/>
    <s v="ISO27001:A.5.24-5.28 | NIS2:Art.21(2)(b) | FNCS:RS.MA | ACN-DET:RS.MA-02 | AgID-MM"/>
    <s v="ALTA"/>
    <m/>
    <m/>
  </r>
  <r>
    <x v="12"/>
    <s v="PRO-036"/>
    <s v="Procedura Classificazione Incidenti"/>
    <x v="6"/>
    <s v="RS"/>
    <s v="Criteri severità, impatto, priorità"/>
    <s v="ISO27001:A.5.25 | FNCS:RS.AN-01 | ACN-DET:RS.AN-01"/>
    <s v="ALTA"/>
    <m/>
    <m/>
  </r>
  <r>
    <x v="12"/>
    <s v="PRO-037"/>
    <s v="Procedura Escalation Incidenti"/>
    <x v="6"/>
    <s v="RS"/>
    <s v="Catena escalation, comunicazione interna/esterna"/>
    <s v="ISO27001:A.5.26 | FNCS:RS.CO-01 | ACN-DET:RS.CO-01"/>
    <s v="ALTA"/>
    <m/>
    <m/>
  </r>
  <r>
    <x v="12"/>
    <s v="PRO-038"/>
    <s v="Procedura Notifica Incidenti CSIRT Italia"/>
    <x v="6"/>
    <s v="RS"/>
    <s v="Notifica 24h/72h, contenuti obbligatori, canali"/>
    <s v="NIS2:Art.23 | L90/2024:Art.1 | FNCS:RS.CO-02 | ACN-DET:RS.CO-02"/>
    <s v="ALTA"/>
    <m/>
    <m/>
  </r>
  <r>
    <x v="12"/>
    <s v="PRO-039"/>
    <s v="Procedura Forensic Investigation"/>
    <x v="6"/>
    <s v="RS"/>
    <s v="Raccolta prove, chain of custody, analisi forense"/>
    <s v="ISO27001:A.5.28 | FNCS:RS.AN-03 | ACN-DET:RS.AN-02"/>
    <s v="ALTA"/>
    <m/>
    <m/>
  </r>
  <r>
    <x v="12"/>
    <s v="PRO-040"/>
    <s v="Procedura Post-Incident Review"/>
    <x v="6"/>
    <s v="RS"/>
    <s v="Lessons learned, root cause analysis, miglioramenti"/>
    <s v="ISO27001:A.5.27 | FNCS:RS.IM-01 | ACN-DET:RS.IM-01"/>
    <s v="ALTA"/>
    <m/>
    <m/>
  </r>
  <r>
    <x v="12"/>
    <s v="REG-013"/>
    <s v="Registro degli Incidenti"/>
    <x v="2"/>
    <s v="RS"/>
    <s v="Storico incidenti, analisi trend, metriche"/>
    <s v="ISO27001:A.5.24 | NIS2:Art.23 | FNCS:RS.AN-02 | ACN-DET:RS.AN-03"/>
    <s v="ALTA"/>
    <m/>
    <m/>
  </r>
  <r>
    <x v="12"/>
    <s v="PLB-001"/>
    <s v="Playbook Ransomware"/>
    <x v="9"/>
    <s v="RS"/>
    <s v="Azioni predefinite per attacchi ransomware"/>
    <s v="FNCS:RS.MA | ACN-DET:RS.MA-03"/>
    <s v="ALTA"/>
    <m/>
    <m/>
  </r>
  <r>
    <x v="12"/>
    <s v="PLB-002"/>
    <s v="Playbook Data Breach"/>
    <x v="9"/>
    <s v="RS"/>
    <s v="Gestione violazione dati personali, notifica Garante"/>
    <s v="GDPR:Art.33-34 | FNCS:RS.MA | ACN-DET:RS.MA-04"/>
    <s v="ALTA"/>
    <m/>
    <m/>
  </r>
  <r>
    <x v="12"/>
    <s v="PLB-003"/>
    <s v="Playbook Phishing"/>
    <x v="9"/>
    <s v="RS"/>
    <s v="Risposta attacchi phishing/social engineering"/>
    <s v="FNCS:RS.MA | ACN-DET:RS.MA-05"/>
    <s v="ALTA"/>
    <m/>
    <m/>
  </r>
  <r>
    <x v="12"/>
    <s v="PLB-004"/>
    <s v="Playbook DDoS"/>
    <x v="9"/>
    <s v="RS"/>
    <s v="Mitigazione attacchi denial of service"/>
    <s v="FNCS:RS.MA | ACN-DET:RS.MA-06"/>
    <s v="ALTA"/>
    <m/>
    <m/>
  </r>
  <r>
    <x v="12"/>
    <s v="PLB-005"/>
    <s v="Playbook Malware Infection"/>
    <x v="9"/>
    <s v="RS"/>
    <s v="Contenimento ed eradicazione malware"/>
    <s v="FNCS:RS.MA | ACN-DET:RS.MA-07"/>
    <s v="ALTA"/>
    <m/>
    <m/>
  </r>
  <r>
    <x v="13"/>
    <s v="POL-014"/>
    <s v="Politica di Business Continuity"/>
    <x v="0"/>
    <s v="RC"/>
    <s v="Principi continuità, obiettivi RTO/RPO"/>
    <s v="ISO27001:A.5.29-5.30 | NIS2:Art.21(2)(c) | FNCS:RC.RP | ACN-DET:RC.RP-01"/>
    <s v="ALTA"/>
    <m/>
    <m/>
  </r>
  <r>
    <x v="13"/>
    <s v="PRC-013"/>
    <s v="Processo di Business Continuity Management"/>
    <x v="4"/>
    <s v="RC"/>
    <s v="BCM lifecycle, BIA, strategie, test"/>
    <s v="ISO27001:A.5.29-5.30 | ISO22301 | FNCS:RC.RP | ACN-DET:RC.RP-02"/>
    <s v="ALTA"/>
    <m/>
    <m/>
  </r>
  <r>
    <x v="13"/>
    <s v="DOC-004"/>
    <s v="Business Impact Analysis (BIA)"/>
    <x v="1"/>
    <s v="ID/RC"/>
    <s v="Analisi impatti, processi critici, RTO/RPO"/>
    <s v="ISO27001:A.5.29 | FNCS:ID.RA-04 | ACN-DET:ID.RA-09"/>
    <s v="ALTA"/>
    <m/>
    <m/>
  </r>
  <r>
    <x v="13"/>
    <s v="PIA-003"/>
    <s v="Business Continuity Plan"/>
    <x v="3"/>
    <s v="RC"/>
    <s v="Piano continuità operativa"/>
    <s v="ISO27001:A.5.29-5.30 | NIS2:Art.21(2)(c) | FNCS:RC.RP-01 | ACN-DET:RC.RP-03"/>
    <s v="ALTA"/>
    <m/>
    <m/>
  </r>
  <r>
    <x v="13"/>
    <s v="PIA-004"/>
    <s v="Disaster Recovery Plan"/>
    <x v="3"/>
    <s v="RC"/>
    <s v="Piano ripristino sistemi IT"/>
    <s v="ISO27001:A.5.30 | NIS2:Art.21(2)(c) | FNCS:RC.RP-02 | ACN-DET:RC.RP-04"/>
    <s v="ALTA"/>
    <m/>
    <m/>
  </r>
  <r>
    <x v="13"/>
    <s v="PIA-005"/>
    <s v="Piano Gestione Crisi Informatiche"/>
    <x v="3"/>
    <s v="RS/RC"/>
    <s v="Gestione crisi cyber, comunicazione, escalation"/>
    <s v="NIS2:Art.21 | FNCS:RS.MA-02 | ACN-DET:RS.MA-08"/>
    <s v="ALTA"/>
    <m/>
    <m/>
  </r>
  <r>
    <x v="13"/>
    <s v="PRO-041"/>
    <s v="Procedura Test BC/DR"/>
    <x v="6"/>
    <s v="RC"/>
    <s v="Test periodici piani continuità e disaster recovery"/>
    <s v="ISO27001:A.5.30 | FNCS:RC.RP-03 | ACN-DET:RC.RP-05"/>
    <s v="ALTA"/>
    <m/>
    <m/>
  </r>
  <r>
    <x v="13"/>
    <s v="PRO-042"/>
    <s v="Procedura Attivazione DR"/>
    <x v="6"/>
    <s v="RC"/>
    <s v="Attivazione sito DR, failover, procedure operative"/>
    <s v="ISO27001:A.5.30 | FNCS:RC.RP-02 | ACN-DET:RC.RP-06"/>
    <s v="ALTA"/>
    <m/>
    <m/>
  </r>
  <r>
    <x v="13"/>
    <s v="PRO-043"/>
    <s v="Procedura Comunicazione in Crisi"/>
    <x v="6"/>
    <s v="RS/RC"/>
    <s v="Comunicazione stakeholder durante crisi"/>
    <s v="NIS2:Art.23 | FNCS:RC.CO | ACN-DET:RC.CO-01"/>
    <s v="ALTA"/>
    <m/>
    <m/>
  </r>
  <r>
    <x v="14"/>
    <s v="PRC-014"/>
    <s v="Processo Cyber Threat Intelligence"/>
    <x v="4"/>
    <s v="ID/DE"/>
    <s v="Raccolta, analisi, condivisione threat intelligence"/>
    <s v="ISO27001:A.5.7 | FNCS:ID.RA-02 | ACN-DET:ID.RA-10"/>
    <s v="MEDIA"/>
    <m/>
    <m/>
  </r>
  <r>
    <x v="14"/>
    <s v="PRO-044"/>
    <s v="Procedura Gestione IoC"/>
    <x v="6"/>
    <s v="DE"/>
    <s v="Indicators of Compromise, alimentazione SIEM/EDR"/>
    <s v="FNCS:DE.CM-07 | ACN-DET:DE.CM-08"/>
    <s v="MEDIA"/>
    <m/>
    <m/>
  </r>
  <r>
    <x v="14"/>
    <s v="PRO-045"/>
    <s v="Procedura Early Warning"/>
    <x v="6"/>
    <s v="ID/DE"/>
    <s v="Monitoraggio bollettini CSIRT, CERT, vendor"/>
    <s v="AgID-MM | FNCS:ID.RA-02 | ACN-DET:ID.RA-11"/>
    <s v="MEDIA"/>
    <m/>
    <m/>
  </r>
  <r>
    <x v="14"/>
    <s v="REG-014"/>
    <s v="Registro Threat Intelligence"/>
    <x v="2"/>
    <s v="ID"/>
    <s v="Database minacce, attori, TTPs rilevanti"/>
    <s v="FNCS:ID.RA-02 | ACN-DET:ID.RA-12"/>
    <s v="MEDIA"/>
    <m/>
    <m/>
  </r>
  <r>
    <x v="15"/>
    <s v="POL-015"/>
    <s v="Politica Formazione Sicurezza"/>
    <x v="0"/>
    <s v="GV/PR"/>
    <s v="Obblighi formativi, awareness, competenze"/>
    <s v="ISO27001:A.6.3 | NIS2:Art.20(2) | FNCS:PR.AT | ACN-DET:PR.AT-01"/>
    <s v="ALTA"/>
    <m/>
    <m/>
  </r>
  <r>
    <x v="15"/>
    <s v="PRC-015"/>
    <s v="Processo Security Awareness"/>
    <x v="4"/>
    <s v="PR"/>
    <s v="Programma sensibilizzazione continua"/>
    <s v="ISO27001:A.6.3 | NIS2:Art.20(2) | FNCS:PR.AT | ACN-DET:PR.AT-02 | AgID-MM:ABSC17"/>
    <s v="ALTA"/>
    <m/>
    <m/>
  </r>
  <r>
    <x v="15"/>
    <s v="PIA-006"/>
    <s v="Piano Formazione Annuale Sicurezza"/>
    <x v="3"/>
    <s v="PR"/>
    <s v="Calendario corsi, target, obiettivi, budget"/>
    <s v="ISO27001:A.6.3 | FNCS:PR.AT-01 | ACN-DET:PR.AT-03"/>
    <s v="ALTA"/>
    <m/>
    <m/>
  </r>
  <r>
    <x v="15"/>
    <s v="PRO-046"/>
    <s v="Procedura Campagne Phishing Simulato"/>
    <x v="6"/>
    <s v="PR"/>
    <s v="Test phishing interni, metriche, follow-up"/>
    <s v="FNCS:PR.AT-02 | ACN-DET:PR.AT-04"/>
    <s v="MEDIA"/>
    <m/>
    <m/>
  </r>
  <r>
    <x v="15"/>
    <s v="REG-015"/>
    <s v="Registro Formazione Sicurezza"/>
    <x v="2"/>
    <s v="PR"/>
    <s v="Tracciamento corsi erogati, partecipanti, attestati"/>
    <s v="ISO27001:A.6.3 | FNCS:PR.AT-03 | ACN-DET:PR.AT-05"/>
    <s v="ALTA"/>
    <m/>
    <m/>
  </r>
  <r>
    <x v="16"/>
    <s v="PRC-016"/>
    <s v="Processo Gestione Sicurezza Fornitori"/>
    <x v="4"/>
    <s v="ID/GV"/>
    <s v="Valutazione, contrattualistica, monitoraggio fornitori"/>
    <s v="ISO27001:A.5.19-5.23 | NIS2:Art.21(2)(d) | FNCS:GV.SC | ACN-DET:GV.SC-01"/>
    <s v="ALTA"/>
    <m/>
    <m/>
  </r>
  <r>
    <x v="16"/>
    <s v="PRO-047"/>
    <s v="Procedura Valutazione Sicurezza Fornitori"/>
    <x v="6"/>
    <s v="ID"/>
    <s v="Due diligence, questionari, audit fornitori"/>
    <s v="ISO27001:A.5.19-5.20 | FNCS:ID.SC-02 | ACN-DET:ID.SC-01"/>
    <s v="ALTA"/>
    <m/>
    <m/>
  </r>
  <r>
    <x v="16"/>
    <s v="PRO-048"/>
    <s v="Procedura Gestione Contratti ICT"/>
    <x v="6"/>
    <s v="GV"/>
    <s v="Clausole sicurezza, SLA, diritti audit, exit"/>
    <s v="ISO27001:A.5.20-5.22 | L90/2024:Art.14 | FNCS:GV.SC-03 | ACN-DET:GV.SC-02"/>
    <s v="ALTA"/>
    <m/>
    <m/>
  </r>
  <r>
    <x v="16"/>
    <s v="PRO-049"/>
    <s v="Procedura Monitoraggio Fornitori Critici"/>
    <x v="6"/>
    <s v="ID"/>
    <s v="KPI sicurezza, incident fornitori, review periodica"/>
    <s v="ISO27001:A.5.22 | FNCS:ID.SC-04 | ACN-DET:ID.SC-02"/>
    <s v="ALTA"/>
    <m/>
    <m/>
  </r>
  <r>
    <x v="16"/>
    <s v="REG-016"/>
    <s v="Registro Fornitori Critici"/>
    <x v="2"/>
    <s v="ID"/>
    <s v="Elenco fornitori, servizi, criticità, valutazioni"/>
    <s v="ISO27001:A.5.19 | FNCS:ID.SC-01 | ACN-DET:ID.SC-03"/>
    <s v="ALTA"/>
    <m/>
    <m/>
  </r>
  <r>
    <x v="16"/>
    <s v="DOC-005"/>
    <s v="Requisiti Sicurezza per Bandi ICT"/>
    <x v="1"/>
    <s v="GV"/>
    <s v="Elementi essenziali cybersicurezza per appalti"/>
    <s v="L90/2024:Art.14 | FNCS:GV.SC-04 | ACN-DET:GV.SC-03"/>
    <s v="ALTA"/>
    <m/>
    <m/>
  </r>
  <r>
    <x v="17"/>
    <s v="PRC-017"/>
    <s v="Processo di Compliance Management"/>
    <x v="4"/>
    <s v="GV"/>
    <s v="Monitoraggio conformità, gap analysis"/>
    <s v="ISO27001:A.5.31-5.37 | NIS2:Art.32-34 | FNCS:GV.OC | ACN-DET:GV.OC-02"/>
    <s v="ALTA"/>
    <m/>
    <m/>
  </r>
  <r>
    <x v="17"/>
    <s v="PRC-018"/>
    <s v="Processo di Internal Audit"/>
    <x v="4"/>
    <s v="GV"/>
    <s v="Pianificazione, esecuzione, reporting audit interni"/>
    <s v="ISO27001:9.2 | FNCS:GV.OV-03 | ACN-DET:GV.OV-01"/>
    <s v="ALTA"/>
    <m/>
    <m/>
  </r>
  <r>
    <x v="17"/>
    <s v="PIA-007"/>
    <s v="Piano Audit Annuale"/>
    <x v="3"/>
    <s v="GV"/>
    <s v="Programmazione audit, scope, risorse"/>
    <s v="ISO27001:9.2 | FNCS:GV.OV-03 | ACN-DET:GV.OV-02"/>
    <s v="ALTA"/>
    <m/>
    <m/>
  </r>
  <r>
    <x v="17"/>
    <s v="PRO-050"/>
    <s v="Procedura Audit Interno Sicurezza"/>
    <x v="6"/>
    <s v="GV"/>
    <s v="Modalità conduzione audit, checklist, reporting"/>
    <s v="ISO27001:9.2 | FNCS:GV.OV-03 | ACN-DET:GV.OV-03"/>
    <s v="ALTA"/>
    <m/>
    <m/>
  </r>
  <r>
    <x v="17"/>
    <s v="PRO-051"/>
    <s v="Procedura Gestione Non Conformità"/>
    <x v="6"/>
    <s v="GV"/>
    <s v="Identificazione, trattamento NC, azioni correttive"/>
    <s v="ISO27001:10.1-10.2 | FNCS:GV.IM | ACN-DET:GV.IM-01"/>
    <s v="ALTA"/>
    <m/>
    <m/>
  </r>
  <r>
    <x v="17"/>
    <s v="REG-017"/>
    <s v="Registro Non Conformità"/>
    <x v="2"/>
    <s v="GV"/>
    <s v="Tracking NC, stato, chiusura"/>
    <s v="ISO27001:10.1 | FNCS:GV.IM-01 | ACN-DET:GV.IM-02"/>
    <s v="ALTA"/>
    <m/>
    <m/>
  </r>
  <r>
    <x v="17"/>
    <s v="REG-018"/>
    <s v="Registro Requisiti Legali e Contrattuali"/>
    <x v="2"/>
    <s v="GV"/>
    <s v="Mappatura obblighi, scadenze, responsabili"/>
    <s v="ISO27001:A.5.31 | FNCS:GV.OC-01 | ACN-DET:GV.OC-03"/>
    <s v="ALTA"/>
    <m/>
    <m/>
  </r>
  <r>
    <x v="17"/>
    <s v="REP-002"/>
    <s v="Report Compliance NIS2/ACN"/>
    <x v="5"/>
    <s v="GV"/>
    <s v="Stato conformità requisiti NIS2"/>
    <s v="NIS2:Art.32 | ACN-DET | FNCS:GV.OC"/>
    <s v="ALTA"/>
    <m/>
    <m/>
  </r>
  <r>
    <x v="18"/>
    <s v="POL-016"/>
    <s v="Politica Sicurezza Risorse Umane"/>
    <x v="0"/>
    <s v="PR"/>
    <s v="Screening, termination, responsabilità personale"/>
    <s v="ISO27001:A.6.1-6.8 | FNCS:PR.AT | ACN-DET:PR.AT-06"/>
    <s v="ALTA"/>
    <m/>
    <m/>
  </r>
  <r>
    <x v="18"/>
    <s v="PRO-052"/>
    <s v="Procedura Onboarding Sicurezza"/>
    <x v="6"/>
    <s v="PR"/>
    <s v="Verifiche pre-assunzione, NDA, formazione iniziale"/>
    <s v="ISO27001:A.6.1-6.2 | FNCS:PR.AT-04 | ACN-DET:PR.AT-07"/>
    <s v="ALTA"/>
    <m/>
    <m/>
  </r>
  <r>
    <x v="18"/>
    <s v="PRO-053"/>
    <s v="Procedura Offboarding Sicurezza"/>
    <x v="6"/>
    <s v="PR"/>
    <s v="Revoca accessi, restituzione asset, exit interview"/>
    <s v="ISO27001:A.6.5 | FNCS:PR.AA-02 | ACN-DET:PR.AA-09"/>
    <s v="ALTA"/>
    <m/>
    <m/>
  </r>
  <r>
    <x v="18"/>
    <s v="PRO-054"/>
    <s v="Procedura Azioni Disciplinari"/>
    <x v="6"/>
    <s v="GV"/>
    <s v="Violazioni policy, sanzioni, documentazione"/>
    <s v="ISO27001:A.6.4 | FNCS:GV.RR-03 | ACN-DET:GV.RR-01"/>
    <s v="MEDIA"/>
    <m/>
    <m/>
  </r>
  <r>
    <x v="19"/>
    <s v="PRC-019"/>
    <s v="Processo di Miglioramento Continuo"/>
    <x v="4"/>
    <s v="GV"/>
    <s v="PDCA, metriche, KPI, obiettivi miglioramento"/>
    <s v="ISO27001:10.2 | FNCS:GV.IM | ACN-DET:GV.IM-03"/>
    <s v="ALTA"/>
    <m/>
    <m/>
  </r>
  <r>
    <x v="19"/>
    <s v="PRO-055"/>
    <s v="Procedura Gestione Documentazione"/>
    <x v="6"/>
    <s v="GV"/>
    <s v="Controllo documenti, versioning, approvazione"/>
    <s v="ISO27001:7.5 | FNCS:GV.PO-02 | ACN-DET:GV.PO-02"/>
    <s v="ALTA"/>
    <m/>
    <m/>
  </r>
  <r>
    <x v="19"/>
    <s v="PRO-056"/>
    <s v="Procedura Riesame Direzione"/>
    <x v="6"/>
    <s v="GV"/>
    <s v="Input/output riesame, frequenza, verbali"/>
    <s v="ISO27001:9.3 | FNCS:GV.OV-02 | ACN-DET:GV.OV-04"/>
    <s v="ALTA"/>
    <m/>
    <m/>
  </r>
  <r>
    <x v="19"/>
    <s v="REP-003"/>
    <s v="Report KPI Sicurezza"/>
    <x v="5"/>
    <s v="GV"/>
    <s v="Dashboard metriche sicurezza"/>
    <s v="ISO27001:9.1 | FNCS:GV.OV-01 | ACN-DET:GV.OV-05"/>
    <s v="MEDIA"/>
    <m/>
    <m/>
  </r>
  <r>
    <x v="19"/>
    <s v="REG-019"/>
    <s v="Registro Obiettivi Sicurezza"/>
    <x v="2"/>
    <s v="GV"/>
    <s v="Target, stato avanzamento, responsabili"/>
    <s v="ISO27001:6.2 | FNCS:GV.OC-03 | ACN-DET:GV.OC-04"/>
    <s v="MEDIA"/>
    <m/>
    <m/>
  </r>
  <r>
    <x v="20"/>
    <m/>
    <m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5DD4B-874C-4D88-9E56-28F4F8C623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L23" firstHeaderRow="1" firstDataRow="2" firstDataCol="1"/>
  <pivotFields count="10">
    <pivotField axis="axisRow" showAll="0" sortType="ascending">
      <items count="31">
        <item x="0"/>
        <item x="1"/>
        <item x="2"/>
        <item x="3"/>
        <item x="4"/>
        <item x="5"/>
        <item x="6"/>
        <item x="7"/>
        <item x="8"/>
        <item m="1" x="21"/>
        <item x="9"/>
        <item x="10"/>
        <item x="11"/>
        <item x="12"/>
        <item x="13"/>
        <item x="14"/>
        <item x="15"/>
        <item x="16"/>
        <item x="17"/>
        <item x="18"/>
        <item m="1" x="22"/>
        <item x="19"/>
        <item m="1" x="23"/>
        <item m="1" x="24"/>
        <item m="1" x="25"/>
        <item m="1" x="26"/>
        <item m="1" x="27"/>
        <item m="1" x="28"/>
        <item m="1" x="29"/>
        <item h="1" x="20"/>
        <item t="default"/>
      </items>
    </pivotField>
    <pivotField dataField="1" showAll="0"/>
    <pivotField showAll="0"/>
    <pivotField axis="axisCol" showAll="0">
      <items count="12">
        <item x="0"/>
        <item x="4"/>
        <item x="6"/>
        <item x="7"/>
        <item x="1"/>
        <item x="8"/>
        <item x="9"/>
        <item x="3"/>
        <item x="2"/>
        <item x="5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COD.DO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opLeftCell="A3" workbookViewId="0">
      <selection activeCell="C12" sqref="C12"/>
    </sheetView>
  </sheetViews>
  <sheetFormatPr defaultRowHeight="15.35" x14ac:dyDescent="0.3"/>
  <cols>
    <col min="1" max="1" width="15" customWidth="1"/>
    <col min="2" max="2" width="35" customWidth="1"/>
    <col min="3" max="3" width="63" customWidth="1"/>
    <col min="4" max="4" width="40.6640625" bestFit="1" customWidth="1"/>
    <col min="5" max="5" width="6.21875" bestFit="1" customWidth="1"/>
  </cols>
  <sheetData>
    <row r="1" spans="1:5" ht="18.7" x14ac:dyDescent="0.35">
      <c r="A1" s="19" t="s">
        <v>0</v>
      </c>
      <c r="B1" s="17"/>
      <c r="C1" s="17"/>
      <c r="D1" s="17"/>
    </row>
    <row r="3" spans="1:5" ht="16" x14ac:dyDescent="0.3">
      <c r="A3" s="18" t="s">
        <v>1</v>
      </c>
      <c r="B3" s="17"/>
      <c r="C3" s="17"/>
      <c r="D3" s="17"/>
    </row>
    <row r="5" spans="1:5" ht="37.35" customHeigh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96</v>
      </c>
    </row>
    <row r="6" spans="1:5" ht="37.35" customHeight="1" x14ac:dyDescent="0.3">
      <c r="A6" s="3" t="s">
        <v>6</v>
      </c>
      <c r="B6" s="3" t="s">
        <v>146</v>
      </c>
      <c r="C6" s="3" t="s">
        <v>8</v>
      </c>
      <c r="D6" s="3" t="s">
        <v>9</v>
      </c>
      <c r="E6" s="3" t="s">
        <v>942</v>
      </c>
    </row>
    <row r="7" spans="1:5" ht="37.35" customHeight="1" x14ac:dyDescent="0.3">
      <c r="A7" s="3" t="s">
        <v>10</v>
      </c>
      <c r="B7" s="3" t="s">
        <v>177</v>
      </c>
      <c r="C7" s="3" t="s">
        <v>12</v>
      </c>
      <c r="D7" s="3" t="s">
        <v>13</v>
      </c>
      <c r="E7" s="3" t="s">
        <v>943</v>
      </c>
    </row>
    <row r="8" spans="1:5" ht="37.35" customHeight="1" x14ac:dyDescent="0.3">
      <c r="A8" s="3" t="s">
        <v>14</v>
      </c>
      <c r="B8" s="3" t="s">
        <v>191</v>
      </c>
      <c r="C8" s="3" t="s">
        <v>16</v>
      </c>
      <c r="D8" s="3" t="s">
        <v>17</v>
      </c>
      <c r="E8" s="3" t="s">
        <v>944</v>
      </c>
    </row>
    <row r="9" spans="1:5" ht="37.35" customHeight="1" x14ac:dyDescent="0.3">
      <c r="A9" s="3" t="s">
        <v>18</v>
      </c>
      <c r="B9" s="3" t="s">
        <v>274</v>
      </c>
      <c r="C9" s="3" t="s">
        <v>20</v>
      </c>
      <c r="D9" s="3" t="s">
        <v>21</v>
      </c>
      <c r="E9" s="3" t="s">
        <v>945</v>
      </c>
    </row>
    <row r="10" spans="1:5" ht="37.35" customHeight="1" x14ac:dyDescent="0.3">
      <c r="A10" s="3" t="s">
        <v>22</v>
      </c>
      <c r="B10" s="3" t="s">
        <v>967</v>
      </c>
      <c r="C10" s="3" t="s">
        <v>24</v>
      </c>
      <c r="D10" s="3" t="s">
        <v>25</v>
      </c>
      <c r="E10" s="3" t="s">
        <v>946</v>
      </c>
    </row>
    <row r="11" spans="1:5" ht="37.35" customHeight="1" x14ac:dyDescent="0.3">
      <c r="A11" s="3" t="s">
        <v>26</v>
      </c>
      <c r="B11" s="3" t="s">
        <v>968</v>
      </c>
      <c r="C11" s="3" t="s">
        <v>27</v>
      </c>
      <c r="D11" s="3" t="s">
        <v>28</v>
      </c>
      <c r="E11" s="3" t="s">
        <v>947</v>
      </c>
    </row>
    <row r="12" spans="1:5" ht="37.35" customHeight="1" x14ac:dyDescent="0.3">
      <c r="A12" s="3" t="s">
        <v>29</v>
      </c>
      <c r="B12" s="3" t="s">
        <v>531</v>
      </c>
      <c r="C12" s="3" t="s">
        <v>31</v>
      </c>
      <c r="D12" s="3" t="s">
        <v>32</v>
      </c>
      <c r="E12" s="3" t="s">
        <v>948</v>
      </c>
    </row>
    <row r="13" spans="1:5" ht="37.35" customHeight="1" x14ac:dyDescent="0.3">
      <c r="A13" s="3" t="s">
        <v>33</v>
      </c>
      <c r="B13" s="3" t="s">
        <v>172</v>
      </c>
      <c r="C13" s="3" t="s">
        <v>35</v>
      </c>
      <c r="D13" s="3" t="s">
        <v>36</v>
      </c>
      <c r="E13" s="3" t="s">
        <v>949</v>
      </c>
    </row>
    <row r="14" spans="1:5" ht="37.35" customHeight="1" x14ac:dyDescent="0.3">
      <c r="A14" s="3" t="s">
        <v>37</v>
      </c>
      <c r="B14" s="3" t="s">
        <v>166</v>
      </c>
      <c r="C14" s="3" t="s">
        <v>39</v>
      </c>
      <c r="D14" s="3" t="s">
        <v>40</v>
      </c>
      <c r="E14" s="3" t="s">
        <v>950</v>
      </c>
    </row>
    <row r="15" spans="1:5" ht="37.35" customHeight="1" x14ac:dyDescent="0.3">
      <c r="A15" s="3" t="s">
        <v>41</v>
      </c>
      <c r="B15" s="3" t="s">
        <v>182</v>
      </c>
      <c r="C15" s="3" t="s">
        <v>43</v>
      </c>
      <c r="D15" s="3" t="s">
        <v>44</v>
      </c>
      <c r="E15" s="3" t="s">
        <v>951</v>
      </c>
    </row>
    <row r="18" spans="1:4" ht="16" x14ac:dyDescent="0.3">
      <c r="A18" s="18" t="s">
        <v>45</v>
      </c>
      <c r="B18" s="17"/>
      <c r="C18" s="17"/>
      <c r="D18" s="17"/>
    </row>
    <row r="20" spans="1:4" x14ac:dyDescent="0.3">
      <c r="A20" s="2" t="s">
        <v>46</v>
      </c>
      <c r="B20" s="2" t="s">
        <v>47</v>
      </c>
      <c r="C20" s="2" t="s">
        <v>48</v>
      </c>
      <c r="D20" s="2" t="s">
        <v>49</v>
      </c>
    </row>
    <row r="21" spans="1:4" ht="30.7" x14ac:dyDescent="0.3">
      <c r="A21" s="3" t="s">
        <v>50</v>
      </c>
      <c r="B21" s="3" t="s">
        <v>51</v>
      </c>
      <c r="C21" s="3" t="s">
        <v>52</v>
      </c>
      <c r="D21" s="3" t="s">
        <v>53</v>
      </c>
    </row>
    <row r="22" spans="1:4" ht="30.7" x14ac:dyDescent="0.3">
      <c r="A22" s="3" t="s">
        <v>54</v>
      </c>
      <c r="B22" s="3" t="s">
        <v>55</v>
      </c>
      <c r="C22" s="3" t="s">
        <v>56</v>
      </c>
      <c r="D22" s="3" t="s">
        <v>57</v>
      </c>
    </row>
    <row r="23" spans="1:4" x14ac:dyDescent="0.3">
      <c r="A23" s="3" t="s">
        <v>58</v>
      </c>
      <c r="B23" s="3" t="s">
        <v>59</v>
      </c>
      <c r="C23" s="3" t="s">
        <v>60</v>
      </c>
      <c r="D23" s="3" t="s">
        <v>61</v>
      </c>
    </row>
    <row r="24" spans="1:4" ht="30.7" x14ac:dyDescent="0.3">
      <c r="A24" s="3" t="s">
        <v>62</v>
      </c>
      <c r="B24" s="3" t="s">
        <v>63</v>
      </c>
      <c r="C24" s="3" t="s">
        <v>64</v>
      </c>
      <c r="D24" s="3" t="s">
        <v>65</v>
      </c>
    </row>
    <row r="25" spans="1:4" x14ac:dyDescent="0.3">
      <c r="A25" s="3" t="s">
        <v>66</v>
      </c>
      <c r="B25" s="3" t="s">
        <v>67</v>
      </c>
      <c r="C25" s="3" t="s">
        <v>68</v>
      </c>
      <c r="D25" s="3" t="s">
        <v>69</v>
      </c>
    </row>
    <row r="26" spans="1:4" x14ac:dyDescent="0.3">
      <c r="A26" s="3" t="s">
        <v>70</v>
      </c>
      <c r="B26" s="3" t="s">
        <v>71</v>
      </c>
      <c r="C26" s="3" t="s">
        <v>72</v>
      </c>
      <c r="D26" s="3" t="s">
        <v>69</v>
      </c>
    </row>
    <row r="27" spans="1:4" x14ac:dyDescent="0.3">
      <c r="A27" s="3" t="s">
        <v>73</v>
      </c>
      <c r="B27" s="3" t="s">
        <v>74</v>
      </c>
      <c r="C27" s="3" t="s">
        <v>75</v>
      </c>
      <c r="D27" s="3" t="s">
        <v>69</v>
      </c>
    </row>
    <row r="28" spans="1:4" x14ac:dyDescent="0.3">
      <c r="A28" s="3" t="s">
        <v>76</v>
      </c>
      <c r="B28" s="3" t="s">
        <v>77</v>
      </c>
      <c r="C28" s="3" t="s">
        <v>78</v>
      </c>
      <c r="D28" s="3" t="s">
        <v>69</v>
      </c>
    </row>
    <row r="29" spans="1:4" x14ac:dyDescent="0.3">
      <c r="A29" s="3" t="s">
        <v>79</v>
      </c>
      <c r="B29" s="3" t="s">
        <v>80</v>
      </c>
      <c r="C29" s="3" t="s">
        <v>81</v>
      </c>
      <c r="D29" s="3" t="s">
        <v>82</v>
      </c>
    </row>
    <row r="30" spans="1:4" x14ac:dyDescent="0.3">
      <c r="A30" s="3" t="s">
        <v>83</v>
      </c>
      <c r="B30" s="3" t="s">
        <v>84</v>
      </c>
      <c r="C30" s="3" t="s">
        <v>85</v>
      </c>
      <c r="D30" s="3" t="s">
        <v>86</v>
      </c>
    </row>
    <row r="31" spans="1:4" ht="30.7" x14ac:dyDescent="0.3">
      <c r="A31" s="3" t="s">
        <v>87</v>
      </c>
      <c r="B31" s="3" t="s">
        <v>88</v>
      </c>
      <c r="C31" s="3" t="s">
        <v>89</v>
      </c>
      <c r="D31" s="3" t="s">
        <v>90</v>
      </c>
    </row>
    <row r="32" spans="1:4" ht="30.7" x14ac:dyDescent="0.3">
      <c r="A32" s="3" t="s">
        <v>91</v>
      </c>
      <c r="B32" s="3" t="s">
        <v>92</v>
      </c>
      <c r="C32" s="3" t="s">
        <v>93</v>
      </c>
      <c r="D32" s="3" t="s">
        <v>94</v>
      </c>
    </row>
    <row r="36" spans="1:4" ht="16" x14ac:dyDescent="0.3">
      <c r="A36" s="18" t="s">
        <v>95</v>
      </c>
      <c r="B36" s="17"/>
      <c r="C36" s="17"/>
      <c r="D36" s="17"/>
    </row>
    <row r="38" spans="1:4" x14ac:dyDescent="0.3">
      <c r="A38" s="2" t="s">
        <v>96</v>
      </c>
      <c r="B38" s="2" t="s">
        <v>97</v>
      </c>
      <c r="C38" s="2" t="s">
        <v>4</v>
      </c>
      <c r="D38" s="2" t="s">
        <v>98</v>
      </c>
    </row>
    <row r="39" spans="1:4" x14ac:dyDescent="0.3">
      <c r="A39" s="3" t="s">
        <v>99</v>
      </c>
      <c r="B39" s="3" t="s">
        <v>100</v>
      </c>
      <c r="C39" s="3" t="s">
        <v>101</v>
      </c>
      <c r="D39" s="3" t="s">
        <v>102</v>
      </c>
    </row>
    <row r="40" spans="1:4" x14ac:dyDescent="0.3">
      <c r="A40" s="3" t="s">
        <v>103</v>
      </c>
      <c r="B40" s="3" t="s">
        <v>104</v>
      </c>
      <c r="C40" s="3" t="s">
        <v>105</v>
      </c>
      <c r="D40" s="3" t="s">
        <v>106</v>
      </c>
    </row>
    <row r="41" spans="1:4" x14ac:dyDescent="0.3">
      <c r="A41" s="3" t="s">
        <v>107</v>
      </c>
      <c r="B41" s="3" t="s">
        <v>108</v>
      </c>
      <c r="C41" s="3" t="s">
        <v>109</v>
      </c>
      <c r="D41" s="3" t="s">
        <v>110</v>
      </c>
    </row>
    <row r="42" spans="1:4" x14ac:dyDescent="0.3">
      <c r="A42" s="3" t="s">
        <v>111</v>
      </c>
      <c r="B42" s="3" t="s">
        <v>112</v>
      </c>
      <c r="C42" s="3" t="s">
        <v>113</v>
      </c>
      <c r="D42" s="3" t="s">
        <v>114</v>
      </c>
    </row>
    <row r="43" spans="1:4" x14ac:dyDescent="0.3">
      <c r="A43" s="3" t="s">
        <v>115</v>
      </c>
      <c r="B43" s="3" t="s">
        <v>116</v>
      </c>
      <c r="C43" s="3" t="s">
        <v>117</v>
      </c>
      <c r="D43" s="3" t="s">
        <v>118</v>
      </c>
    </row>
    <row r="44" spans="1:4" x14ac:dyDescent="0.3">
      <c r="A44" s="3" t="s">
        <v>119</v>
      </c>
      <c r="B44" s="3" t="s">
        <v>120</v>
      </c>
      <c r="C44" s="3" t="s">
        <v>121</v>
      </c>
      <c r="D44" s="3" t="s">
        <v>122</v>
      </c>
    </row>
    <row r="47" spans="1:4" ht="16" x14ac:dyDescent="0.3">
      <c r="A47" s="18" t="s">
        <v>123</v>
      </c>
      <c r="B47" s="17"/>
      <c r="C47" s="17"/>
      <c r="D47" s="17"/>
    </row>
    <row r="49" spans="1:4" x14ac:dyDescent="0.3">
      <c r="A49" s="17" t="s">
        <v>124</v>
      </c>
      <c r="B49" s="17"/>
      <c r="C49" s="17"/>
      <c r="D49" s="17"/>
    </row>
    <row r="50" spans="1:4" x14ac:dyDescent="0.3">
      <c r="A50" s="17" t="s">
        <v>125</v>
      </c>
      <c r="B50" s="17"/>
      <c r="C50" s="17"/>
      <c r="D50" s="17"/>
    </row>
    <row r="51" spans="1:4" x14ac:dyDescent="0.3">
      <c r="A51" s="17" t="s">
        <v>126</v>
      </c>
      <c r="B51" s="17"/>
      <c r="C51" s="17"/>
      <c r="D51" s="17"/>
    </row>
    <row r="52" spans="1:4" x14ac:dyDescent="0.3">
      <c r="A52" s="17" t="s">
        <v>127</v>
      </c>
      <c r="B52" s="17"/>
      <c r="C52" s="17"/>
      <c r="D52" s="17"/>
    </row>
    <row r="53" spans="1:4" x14ac:dyDescent="0.3">
      <c r="A53" s="17" t="s">
        <v>128</v>
      </c>
      <c r="B53" s="17"/>
      <c r="C53" s="17"/>
      <c r="D53" s="17"/>
    </row>
    <row r="54" spans="1:4" x14ac:dyDescent="0.3">
      <c r="A54" s="17" t="s">
        <v>129</v>
      </c>
      <c r="B54" s="17"/>
      <c r="C54" s="17"/>
      <c r="D54" s="17"/>
    </row>
    <row r="55" spans="1:4" x14ac:dyDescent="0.3">
      <c r="A55" s="17" t="s">
        <v>130</v>
      </c>
      <c r="B55" s="17"/>
      <c r="C55" s="17"/>
      <c r="D55" s="17"/>
    </row>
    <row r="56" spans="1:4" x14ac:dyDescent="0.3">
      <c r="A56" s="17" t="s">
        <v>131</v>
      </c>
      <c r="B56" s="17"/>
      <c r="C56" s="17"/>
      <c r="D56" s="17"/>
    </row>
    <row r="57" spans="1:4" x14ac:dyDescent="0.3">
      <c r="A57" s="17"/>
      <c r="B57" s="17"/>
      <c r="C57" s="17"/>
      <c r="D57" s="17"/>
    </row>
    <row r="58" spans="1:4" x14ac:dyDescent="0.3">
      <c r="A58" s="17" t="s">
        <v>132</v>
      </c>
      <c r="B58" s="17"/>
      <c r="C58" s="17"/>
      <c r="D58" s="17"/>
    </row>
    <row r="59" spans="1:4" x14ac:dyDescent="0.3">
      <c r="A59" s="17" t="s">
        <v>133</v>
      </c>
      <c r="B59" s="17"/>
      <c r="C59" s="17"/>
      <c r="D59" s="17"/>
    </row>
    <row r="60" spans="1:4" x14ac:dyDescent="0.3">
      <c r="A60" s="17" t="s">
        <v>134</v>
      </c>
      <c r="B60" s="17"/>
      <c r="C60" s="17"/>
      <c r="D60" s="17"/>
    </row>
    <row r="61" spans="1:4" x14ac:dyDescent="0.3">
      <c r="A61" s="17" t="s">
        <v>135</v>
      </c>
      <c r="B61" s="17"/>
      <c r="C61" s="17"/>
      <c r="D61" s="17"/>
    </row>
  </sheetData>
  <mergeCells count="18">
    <mergeCell ref="A61:D61"/>
    <mergeCell ref="A58:D58"/>
    <mergeCell ref="A53:D53"/>
    <mergeCell ref="A50:D50"/>
    <mergeCell ref="A3:D3"/>
    <mergeCell ref="A54:D54"/>
    <mergeCell ref="A55:D55"/>
    <mergeCell ref="A52:D52"/>
    <mergeCell ref="A59:D59"/>
    <mergeCell ref="A57:D57"/>
    <mergeCell ref="A51:D51"/>
    <mergeCell ref="A49:D49"/>
    <mergeCell ref="A47:D47"/>
    <mergeCell ref="A60:D60"/>
    <mergeCell ref="A36:D36"/>
    <mergeCell ref="A1:D1"/>
    <mergeCell ref="A18:D18"/>
    <mergeCell ref="A56:D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FAE-18E3-4DCB-B2F7-B1CF8B885FF2}">
  <dimension ref="A1:L23"/>
  <sheetViews>
    <sheetView workbookViewId="0">
      <selection activeCell="D29" sqref="D29"/>
    </sheetView>
  </sheetViews>
  <sheetFormatPr defaultRowHeight="15.35" x14ac:dyDescent="0.3"/>
  <cols>
    <col min="1" max="1" width="27.5546875" bestFit="1" customWidth="1"/>
    <col min="2" max="2" width="14.33203125" bestFit="1" customWidth="1"/>
    <col min="3" max="3" width="8" bestFit="1" customWidth="1"/>
    <col min="4" max="4" width="9" bestFit="1" customWidth="1"/>
    <col min="5" max="5" width="10.109375" bestFit="1" customWidth="1"/>
    <col min="6" max="6" width="10.21875" bestFit="1" customWidth="1"/>
    <col min="7" max="7" width="7.88671875" bestFit="1" customWidth="1"/>
    <col min="8" max="8" width="8.109375" bestFit="1" customWidth="1"/>
    <col min="9" max="9" width="5.33203125" bestFit="1" customWidth="1"/>
    <col min="10" max="10" width="7.5546875" bestFit="1" customWidth="1"/>
    <col min="11" max="11" width="6.44140625" bestFit="1" customWidth="1"/>
    <col min="12" max="12" width="10.109375" bestFit="1" customWidth="1"/>
  </cols>
  <sheetData>
    <row r="1" spans="1:12" x14ac:dyDescent="0.3">
      <c r="A1" s="15" t="s">
        <v>969</v>
      </c>
      <c r="B1" s="15" t="s">
        <v>965</v>
      </c>
    </row>
    <row r="2" spans="1:12" x14ac:dyDescent="0.3">
      <c r="A2" s="15" t="s">
        <v>954</v>
      </c>
      <c r="B2" t="s">
        <v>146</v>
      </c>
      <c r="C2" t="s">
        <v>177</v>
      </c>
      <c r="D2" t="s">
        <v>191</v>
      </c>
      <c r="E2" t="s">
        <v>274</v>
      </c>
      <c r="F2" t="s">
        <v>161</v>
      </c>
      <c r="G2" t="s">
        <v>493</v>
      </c>
      <c r="H2" t="s">
        <v>531</v>
      </c>
      <c r="I2" t="s">
        <v>172</v>
      </c>
      <c r="J2" t="s">
        <v>166</v>
      </c>
      <c r="K2" t="s">
        <v>182</v>
      </c>
      <c r="L2" t="s">
        <v>955</v>
      </c>
    </row>
    <row r="3" spans="1:12" x14ac:dyDescent="0.3">
      <c r="A3" s="16" t="s">
        <v>956</v>
      </c>
      <c r="B3">
        <v>3</v>
      </c>
      <c r="C3">
        <v>1</v>
      </c>
      <c r="F3">
        <v>1</v>
      </c>
      <c r="I3">
        <v>1</v>
      </c>
      <c r="J3">
        <v>1</v>
      </c>
      <c r="K3">
        <v>1</v>
      </c>
      <c r="L3">
        <v>8</v>
      </c>
    </row>
    <row r="4" spans="1:12" x14ac:dyDescent="0.3">
      <c r="A4" s="16" t="s">
        <v>957</v>
      </c>
      <c r="C4">
        <v>1</v>
      </c>
      <c r="D4">
        <v>2</v>
      </c>
      <c r="F4">
        <v>1</v>
      </c>
      <c r="I4">
        <v>1</v>
      </c>
      <c r="J4">
        <v>1</v>
      </c>
      <c r="L4">
        <v>6</v>
      </c>
    </row>
    <row r="5" spans="1:12" x14ac:dyDescent="0.3">
      <c r="A5" s="16" t="s">
        <v>958</v>
      </c>
      <c r="B5">
        <v>1</v>
      </c>
      <c r="C5">
        <v>1</v>
      </c>
      <c r="D5">
        <v>2</v>
      </c>
      <c r="J5">
        <v>4</v>
      </c>
      <c r="L5">
        <v>8</v>
      </c>
    </row>
    <row r="6" spans="1:12" x14ac:dyDescent="0.3">
      <c r="A6" s="16" t="s">
        <v>959</v>
      </c>
      <c r="B6">
        <v>1</v>
      </c>
      <c r="C6">
        <v>1</v>
      </c>
      <c r="D6">
        <v>4</v>
      </c>
      <c r="E6">
        <v>1</v>
      </c>
      <c r="J6">
        <v>1</v>
      </c>
      <c r="L6">
        <v>8</v>
      </c>
    </row>
    <row r="7" spans="1:12" x14ac:dyDescent="0.3">
      <c r="A7" s="16" t="s">
        <v>960</v>
      </c>
      <c r="B7">
        <v>2</v>
      </c>
      <c r="C7">
        <v>1</v>
      </c>
      <c r="D7">
        <v>4</v>
      </c>
      <c r="J7">
        <v>1</v>
      </c>
      <c r="L7">
        <v>8</v>
      </c>
    </row>
    <row r="8" spans="1:12" x14ac:dyDescent="0.3">
      <c r="A8" s="16" t="s">
        <v>961</v>
      </c>
      <c r="B8">
        <v>1</v>
      </c>
      <c r="C8">
        <v>1</v>
      </c>
      <c r="D8">
        <v>4</v>
      </c>
      <c r="F8">
        <v>1</v>
      </c>
      <c r="J8">
        <v>1</v>
      </c>
      <c r="L8">
        <v>8</v>
      </c>
    </row>
    <row r="9" spans="1:12" x14ac:dyDescent="0.3">
      <c r="A9" s="16" t="s">
        <v>962</v>
      </c>
      <c r="B9">
        <v>1</v>
      </c>
      <c r="C9">
        <v>1</v>
      </c>
      <c r="D9">
        <v>3</v>
      </c>
      <c r="E9">
        <v>2</v>
      </c>
      <c r="L9">
        <v>7</v>
      </c>
    </row>
    <row r="10" spans="1:12" x14ac:dyDescent="0.3">
      <c r="A10" s="16" t="s">
        <v>963</v>
      </c>
      <c r="C10">
        <v>1</v>
      </c>
      <c r="D10">
        <v>4</v>
      </c>
      <c r="J10">
        <v>1</v>
      </c>
      <c r="L10">
        <v>6</v>
      </c>
    </row>
    <row r="11" spans="1:12" x14ac:dyDescent="0.3">
      <c r="A11" s="16" t="s">
        <v>964</v>
      </c>
      <c r="C11">
        <v>1</v>
      </c>
      <c r="D11">
        <v>2</v>
      </c>
      <c r="J11">
        <v>1</v>
      </c>
      <c r="L11">
        <v>4</v>
      </c>
    </row>
    <row r="12" spans="1:12" x14ac:dyDescent="0.3">
      <c r="A12" s="16" t="s">
        <v>412</v>
      </c>
      <c r="B12">
        <v>1</v>
      </c>
      <c r="C12">
        <v>1</v>
      </c>
      <c r="D12">
        <v>3</v>
      </c>
      <c r="E12">
        <v>2</v>
      </c>
      <c r="L12">
        <v>7</v>
      </c>
    </row>
    <row r="13" spans="1:12" x14ac:dyDescent="0.3">
      <c r="A13" s="16" t="s">
        <v>441</v>
      </c>
      <c r="B13">
        <v>1</v>
      </c>
      <c r="D13">
        <v>3</v>
      </c>
      <c r="J13">
        <v>1</v>
      </c>
      <c r="L13">
        <v>5</v>
      </c>
    </row>
    <row r="14" spans="1:12" x14ac:dyDescent="0.3">
      <c r="A14" s="16" t="s">
        <v>462</v>
      </c>
      <c r="B14">
        <v>1</v>
      </c>
      <c r="C14">
        <v>1</v>
      </c>
      <c r="D14">
        <v>4</v>
      </c>
      <c r="E14">
        <v>1</v>
      </c>
      <c r="G14">
        <v>1</v>
      </c>
      <c r="L14">
        <v>8</v>
      </c>
    </row>
    <row r="15" spans="1:12" x14ac:dyDescent="0.3">
      <c r="A15" s="16" t="s">
        <v>496</v>
      </c>
      <c r="B15">
        <v>1</v>
      </c>
      <c r="C15">
        <v>1</v>
      </c>
      <c r="D15">
        <v>5</v>
      </c>
      <c r="H15">
        <v>5</v>
      </c>
      <c r="J15">
        <v>1</v>
      </c>
      <c r="L15">
        <v>13</v>
      </c>
    </row>
    <row r="16" spans="1:12" x14ac:dyDescent="0.3">
      <c r="A16" s="16" t="s">
        <v>550</v>
      </c>
      <c r="B16">
        <v>1</v>
      </c>
      <c r="C16">
        <v>1</v>
      </c>
      <c r="D16">
        <v>3</v>
      </c>
      <c r="F16">
        <v>1</v>
      </c>
      <c r="I16">
        <v>3</v>
      </c>
      <c r="L16">
        <v>9</v>
      </c>
    </row>
    <row r="17" spans="1:12" x14ac:dyDescent="0.3">
      <c r="A17" s="16" t="s">
        <v>589</v>
      </c>
      <c r="C17">
        <v>1</v>
      </c>
      <c r="D17">
        <v>2</v>
      </c>
      <c r="J17">
        <v>1</v>
      </c>
      <c r="L17">
        <v>4</v>
      </c>
    </row>
    <row r="18" spans="1:12" x14ac:dyDescent="0.3">
      <c r="A18" s="16" t="s">
        <v>607</v>
      </c>
      <c r="B18">
        <v>1</v>
      </c>
      <c r="C18">
        <v>1</v>
      </c>
      <c r="D18">
        <v>1</v>
      </c>
      <c r="I18">
        <v>1</v>
      </c>
      <c r="J18">
        <v>1</v>
      </c>
      <c r="L18">
        <v>5</v>
      </c>
    </row>
    <row r="19" spans="1:12" x14ac:dyDescent="0.3">
      <c r="A19" s="16" t="s">
        <v>629</v>
      </c>
      <c r="C19">
        <v>1</v>
      </c>
      <c r="D19">
        <v>3</v>
      </c>
      <c r="F19">
        <v>1</v>
      </c>
      <c r="J19">
        <v>1</v>
      </c>
      <c r="L19">
        <v>6</v>
      </c>
    </row>
    <row r="20" spans="1:12" x14ac:dyDescent="0.3">
      <c r="A20" s="16" t="s">
        <v>655</v>
      </c>
      <c r="C20">
        <v>2</v>
      </c>
      <c r="D20">
        <v>2</v>
      </c>
      <c r="I20">
        <v>1</v>
      </c>
      <c r="J20">
        <v>2</v>
      </c>
      <c r="K20">
        <v>1</v>
      </c>
      <c r="L20">
        <v>8</v>
      </c>
    </row>
    <row r="21" spans="1:12" x14ac:dyDescent="0.3">
      <c r="A21" s="16" t="s">
        <v>688</v>
      </c>
      <c r="B21">
        <v>1</v>
      </c>
      <c r="D21">
        <v>3</v>
      </c>
      <c r="L21">
        <v>4</v>
      </c>
    </row>
    <row r="22" spans="1:12" x14ac:dyDescent="0.3">
      <c r="A22" s="16" t="s">
        <v>705</v>
      </c>
      <c r="C22">
        <v>1</v>
      </c>
      <c r="D22">
        <v>2</v>
      </c>
      <c r="J22">
        <v>1</v>
      </c>
      <c r="K22">
        <v>1</v>
      </c>
      <c r="L22">
        <v>5</v>
      </c>
    </row>
    <row r="23" spans="1:12" x14ac:dyDescent="0.3">
      <c r="A23" s="16" t="s">
        <v>955</v>
      </c>
      <c r="B23">
        <v>16</v>
      </c>
      <c r="C23">
        <v>19</v>
      </c>
      <c r="D23">
        <v>56</v>
      </c>
      <c r="E23">
        <v>6</v>
      </c>
      <c r="F23">
        <v>5</v>
      </c>
      <c r="G23">
        <v>1</v>
      </c>
      <c r="H23">
        <v>5</v>
      </c>
      <c r="I23">
        <v>7</v>
      </c>
      <c r="J23">
        <v>19</v>
      </c>
      <c r="K23">
        <v>3</v>
      </c>
      <c r="L23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38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.35" outlineLevelCol="1" x14ac:dyDescent="0.3"/>
  <cols>
    <col min="1" max="1" width="30" customWidth="1"/>
    <col min="2" max="2" width="12" customWidth="1"/>
    <col min="3" max="3" width="37.88671875" bestFit="1" customWidth="1"/>
    <col min="4" max="4" width="13.77734375" customWidth="1"/>
    <col min="5" max="5" width="11.33203125" bestFit="1" customWidth="1"/>
    <col min="6" max="6" width="13.77734375" hidden="1" customWidth="1" outlineLevel="1"/>
    <col min="7" max="7" width="50" hidden="1" customWidth="1" outlineLevel="1"/>
    <col min="8" max="8" width="55" hidden="1" customWidth="1" outlineLevel="1"/>
    <col min="9" max="9" width="10" customWidth="1" collapsed="1"/>
    <col min="10" max="10" width="15" customWidth="1"/>
    <col min="11" max="11" width="25.5546875" customWidth="1"/>
  </cols>
  <sheetData>
    <row r="1" spans="1:11" x14ac:dyDescent="0.3">
      <c r="A1" s="4" t="s">
        <v>136</v>
      </c>
      <c r="B1" s="4" t="s">
        <v>137</v>
      </c>
      <c r="C1" s="4" t="s">
        <v>138</v>
      </c>
      <c r="D1" s="4" t="s">
        <v>139</v>
      </c>
      <c r="E1" s="4" t="s">
        <v>966</v>
      </c>
      <c r="F1" s="4" t="s">
        <v>140</v>
      </c>
      <c r="G1" s="4" t="s">
        <v>143</v>
      </c>
      <c r="H1" s="4" t="s">
        <v>141</v>
      </c>
      <c r="I1" s="4" t="s">
        <v>142</v>
      </c>
      <c r="J1" s="4" t="s">
        <v>952</v>
      </c>
      <c r="K1" s="4" t="s">
        <v>953</v>
      </c>
    </row>
    <row r="2" spans="1:11" ht="30.7" x14ac:dyDescent="0.3">
      <c r="A2" s="5" t="s">
        <v>956</v>
      </c>
      <c r="B2" s="3" t="s">
        <v>144</v>
      </c>
      <c r="C2" s="3" t="s">
        <v>145</v>
      </c>
      <c r="D2" s="3" t="s">
        <v>146</v>
      </c>
      <c r="E2" s="3" t="str">
        <f>INDEX(LEGENDA!$A$5:$B$15,MATCH(D2,LEGENDA!$B$5:$B$15,0),1)</f>
        <v>1</v>
      </c>
      <c r="F2" s="3" t="s">
        <v>99</v>
      </c>
      <c r="G2" s="3" t="s">
        <v>149</v>
      </c>
      <c r="H2" s="3" t="s">
        <v>147</v>
      </c>
      <c r="I2" s="6" t="s">
        <v>148</v>
      </c>
      <c r="J2" s="3"/>
      <c r="K2" s="3"/>
    </row>
    <row r="3" spans="1:11" ht="30.7" x14ac:dyDescent="0.3">
      <c r="A3" s="3" t="s">
        <v>956</v>
      </c>
      <c r="B3" s="3" t="s">
        <v>150</v>
      </c>
      <c r="C3" s="3" t="s">
        <v>151</v>
      </c>
      <c r="D3" s="3" t="s">
        <v>146</v>
      </c>
      <c r="E3" s="3" t="str">
        <f>INDEX(LEGENDA!$A$5:$B$15,MATCH(D3,LEGENDA!$B$5:$B$15,0),1)</f>
        <v>1</v>
      </c>
      <c r="F3" s="3" t="s">
        <v>99</v>
      </c>
      <c r="G3" s="3" t="s">
        <v>153</v>
      </c>
      <c r="H3" s="3" t="s">
        <v>152</v>
      </c>
      <c r="I3" s="6" t="s">
        <v>148</v>
      </c>
      <c r="J3" s="3"/>
      <c r="K3" s="3"/>
    </row>
    <row r="4" spans="1:11" ht="30.7" x14ac:dyDescent="0.3">
      <c r="A4" s="3" t="s">
        <v>956</v>
      </c>
      <c r="B4" s="3" t="s">
        <v>154</v>
      </c>
      <c r="C4" s="3" t="s">
        <v>155</v>
      </c>
      <c r="D4" s="3" t="s">
        <v>146</v>
      </c>
      <c r="E4" s="3" t="str">
        <f>INDEX(LEGENDA!$A$5:$B$15,MATCH(D4,LEGENDA!$B$5:$B$15,0),1)</f>
        <v>1</v>
      </c>
      <c r="F4" s="3" t="s">
        <v>156</v>
      </c>
      <c r="G4" s="3" t="s">
        <v>158</v>
      </c>
      <c r="H4" s="3" t="s">
        <v>157</v>
      </c>
      <c r="I4" s="6" t="s">
        <v>148</v>
      </c>
      <c r="J4" s="3"/>
      <c r="K4" s="3"/>
    </row>
    <row r="5" spans="1:11" ht="30.7" x14ac:dyDescent="0.3">
      <c r="A5" s="3" t="s">
        <v>956</v>
      </c>
      <c r="B5" s="3" t="s">
        <v>159</v>
      </c>
      <c r="C5" s="3" t="s">
        <v>160</v>
      </c>
      <c r="D5" s="3" t="s">
        <v>161</v>
      </c>
      <c r="E5" s="3" t="e">
        <f>INDEX(LEGENDA!$A$5:$B$15,MATCH(D5,LEGENDA!$B$5:$B$15,0),1)</f>
        <v>#N/A</v>
      </c>
      <c r="F5" s="3" t="s">
        <v>99</v>
      </c>
      <c r="G5" s="3" t="s">
        <v>163</v>
      </c>
      <c r="H5" s="3" t="s">
        <v>162</v>
      </c>
      <c r="I5" s="6" t="s">
        <v>148</v>
      </c>
      <c r="J5" s="3"/>
      <c r="K5" s="3"/>
    </row>
    <row r="6" spans="1:11" x14ac:dyDescent="0.3">
      <c r="A6" s="3" t="s">
        <v>956</v>
      </c>
      <c r="B6" s="3" t="s">
        <v>164</v>
      </c>
      <c r="C6" s="3" t="s">
        <v>165</v>
      </c>
      <c r="D6" s="3" t="s">
        <v>166</v>
      </c>
      <c r="E6" s="3" t="str">
        <f>INDEX(LEGENDA!$A$5:$B$15,MATCH(D6,LEGENDA!$B$5:$B$15,0),1)</f>
        <v>9</v>
      </c>
      <c r="F6" s="3" t="s">
        <v>99</v>
      </c>
      <c r="G6" s="3" t="s">
        <v>169</v>
      </c>
      <c r="H6" s="3" t="s">
        <v>167</v>
      </c>
      <c r="I6" s="7" t="s">
        <v>168</v>
      </c>
      <c r="J6" s="3"/>
      <c r="K6" s="3"/>
    </row>
    <row r="7" spans="1:11" ht="30.7" x14ac:dyDescent="0.3">
      <c r="A7" s="3" t="s">
        <v>956</v>
      </c>
      <c r="B7" s="3" t="s">
        <v>170</v>
      </c>
      <c r="C7" s="3" t="s">
        <v>171</v>
      </c>
      <c r="D7" s="3" t="s">
        <v>172</v>
      </c>
      <c r="E7" s="3" t="str">
        <f>INDEX(LEGENDA!$A$5:$B$15,MATCH(D7,LEGENDA!$B$5:$B$15,0),1)</f>
        <v>8</v>
      </c>
      <c r="F7" s="3" t="s">
        <v>99</v>
      </c>
      <c r="G7" s="3" t="s">
        <v>174</v>
      </c>
      <c r="H7" s="3" t="s">
        <v>173</v>
      </c>
      <c r="I7" s="6" t="s">
        <v>148</v>
      </c>
      <c r="J7" s="3"/>
      <c r="K7" s="3"/>
    </row>
    <row r="8" spans="1:11" x14ac:dyDescent="0.3">
      <c r="A8" s="3" t="s">
        <v>956</v>
      </c>
      <c r="B8" s="3" t="s">
        <v>175</v>
      </c>
      <c r="C8" s="3" t="s">
        <v>176</v>
      </c>
      <c r="D8" s="3" t="s">
        <v>177</v>
      </c>
      <c r="E8" s="3" t="str">
        <f>INDEX(LEGENDA!$A$5:$B$15,MATCH(D8,LEGENDA!$B$5:$B$15,0),1)</f>
        <v>2</v>
      </c>
      <c r="F8" s="3" t="s">
        <v>99</v>
      </c>
      <c r="G8" s="3" t="s">
        <v>179</v>
      </c>
      <c r="H8" s="3" t="s">
        <v>178</v>
      </c>
      <c r="I8" s="6" t="s">
        <v>148</v>
      </c>
      <c r="J8" s="3"/>
      <c r="K8" s="3"/>
    </row>
    <row r="9" spans="1:11" ht="30.7" x14ac:dyDescent="0.3">
      <c r="A9" s="3" t="s">
        <v>956</v>
      </c>
      <c r="B9" s="3" t="s">
        <v>180</v>
      </c>
      <c r="C9" s="3" t="s">
        <v>181</v>
      </c>
      <c r="D9" s="3" t="s">
        <v>182</v>
      </c>
      <c r="E9" s="3" t="str">
        <f>INDEX(LEGENDA!$A$5:$B$15,MATCH(D9,LEGENDA!$B$5:$B$15,0),1)</f>
        <v>10</v>
      </c>
      <c r="F9" s="3" t="s">
        <v>99</v>
      </c>
      <c r="G9" s="3" t="s">
        <v>184</v>
      </c>
      <c r="H9" s="3" t="s">
        <v>183</v>
      </c>
      <c r="I9" s="6" t="s">
        <v>148</v>
      </c>
      <c r="J9" s="3"/>
      <c r="K9" s="3"/>
    </row>
    <row r="10" spans="1:11" ht="30.7" hidden="1" x14ac:dyDescent="0.3">
      <c r="A10" s="5" t="s">
        <v>957</v>
      </c>
      <c r="B10" s="3" t="s">
        <v>185</v>
      </c>
      <c r="C10" s="3" t="s">
        <v>186</v>
      </c>
      <c r="D10" s="3" t="s">
        <v>177</v>
      </c>
      <c r="E10" s="3" t="str">
        <f>INDEX(LEGENDA!$A$5:$B$15,MATCH(D10,LEGENDA!$B$5:$B$15,0),1)</f>
        <v>2</v>
      </c>
      <c r="F10" s="3" t="s">
        <v>103</v>
      </c>
      <c r="G10" s="3" t="s">
        <v>188</v>
      </c>
      <c r="H10" s="3" t="s">
        <v>187</v>
      </c>
      <c r="I10" s="6" t="s">
        <v>148</v>
      </c>
      <c r="J10" s="3"/>
      <c r="K10" s="3"/>
    </row>
    <row r="11" spans="1:11" hidden="1" x14ac:dyDescent="0.3">
      <c r="A11" s="3" t="s">
        <v>957</v>
      </c>
      <c r="B11" s="3" t="s">
        <v>189</v>
      </c>
      <c r="C11" s="3" t="s">
        <v>190</v>
      </c>
      <c r="D11" s="3" t="s">
        <v>191</v>
      </c>
      <c r="E11" s="3" t="str">
        <f>INDEX(LEGENDA!$A$5:$B$15,MATCH(D11,LEGENDA!$B$5:$B$15,0),1)</f>
        <v>3</v>
      </c>
      <c r="F11" s="3" t="s">
        <v>103</v>
      </c>
      <c r="G11" s="3" t="s">
        <v>193</v>
      </c>
      <c r="H11" s="3" t="s">
        <v>192</v>
      </c>
      <c r="I11" s="6" t="s">
        <v>148</v>
      </c>
      <c r="J11" s="3"/>
      <c r="K11" s="3"/>
    </row>
    <row r="12" spans="1:11" ht="30.7" hidden="1" x14ac:dyDescent="0.3">
      <c r="A12" s="3" t="s">
        <v>957</v>
      </c>
      <c r="B12" s="3" t="s">
        <v>194</v>
      </c>
      <c r="C12" s="3" t="s">
        <v>195</v>
      </c>
      <c r="D12" s="3" t="s">
        <v>166</v>
      </c>
      <c r="E12" s="3" t="str">
        <f>INDEX(LEGENDA!$A$5:$B$15,MATCH(D12,LEGENDA!$B$5:$B$15,0),1)</f>
        <v>9</v>
      </c>
      <c r="F12" s="3" t="s">
        <v>103</v>
      </c>
      <c r="G12" s="3" t="s">
        <v>197</v>
      </c>
      <c r="H12" s="3" t="s">
        <v>196</v>
      </c>
      <c r="I12" s="6" t="s">
        <v>148</v>
      </c>
      <c r="J12" s="3"/>
      <c r="K12" s="3"/>
    </row>
    <row r="13" spans="1:11" ht="30.7" hidden="1" x14ac:dyDescent="0.3">
      <c r="A13" s="3" t="s">
        <v>957</v>
      </c>
      <c r="B13" s="3" t="s">
        <v>198</v>
      </c>
      <c r="C13" s="3" t="s">
        <v>199</v>
      </c>
      <c r="D13" s="3" t="s">
        <v>172</v>
      </c>
      <c r="E13" s="3" t="str">
        <f>INDEX(LEGENDA!$A$5:$B$15,MATCH(D13,LEGENDA!$B$5:$B$15,0),1)</f>
        <v>8</v>
      </c>
      <c r="F13" s="3" t="s">
        <v>103</v>
      </c>
      <c r="G13" s="3" t="s">
        <v>201</v>
      </c>
      <c r="H13" s="3" t="s">
        <v>200</v>
      </c>
      <c r="I13" s="6" t="s">
        <v>148</v>
      </c>
      <c r="J13" s="3"/>
      <c r="K13" s="3"/>
    </row>
    <row r="14" spans="1:11" hidden="1" x14ac:dyDescent="0.3">
      <c r="A14" s="3" t="s">
        <v>957</v>
      </c>
      <c r="B14" s="3" t="s">
        <v>202</v>
      </c>
      <c r="C14" s="3" t="s">
        <v>203</v>
      </c>
      <c r="D14" s="3" t="s">
        <v>161</v>
      </c>
      <c r="E14" s="3" t="e">
        <f>INDEX(LEGENDA!$A$5:$B$15,MATCH(D14,LEGENDA!$B$5:$B$15,0),1)</f>
        <v>#N/A</v>
      </c>
      <c r="F14" s="3" t="s">
        <v>103</v>
      </c>
      <c r="G14" s="3" t="s">
        <v>205</v>
      </c>
      <c r="H14" s="3" t="s">
        <v>204</v>
      </c>
      <c r="I14" s="6" t="s">
        <v>148</v>
      </c>
      <c r="J14" s="3"/>
      <c r="K14" s="3"/>
    </row>
    <row r="15" spans="1:11" hidden="1" x14ac:dyDescent="0.3">
      <c r="A15" s="3" t="s">
        <v>957</v>
      </c>
      <c r="B15" s="3" t="s">
        <v>206</v>
      </c>
      <c r="C15" s="3" t="s">
        <v>207</v>
      </c>
      <c r="D15" s="3" t="s">
        <v>191</v>
      </c>
      <c r="E15" s="3" t="str">
        <f>INDEX(LEGENDA!$A$5:$B$15,MATCH(D15,LEGENDA!$B$5:$B$15,0),1)</f>
        <v>3</v>
      </c>
      <c r="F15" s="3" t="s">
        <v>103</v>
      </c>
      <c r="G15" s="3" t="s">
        <v>209</v>
      </c>
      <c r="H15" s="3" t="s">
        <v>208</v>
      </c>
      <c r="I15" s="7" t="s">
        <v>168</v>
      </c>
      <c r="J15" s="3"/>
      <c r="K15" s="3"/>
    </row>
    <row r="16" spans="1:11" hidden="1" x14ac:dyDescent="0.3">
      <c r="A16" s="5" t="s">
        <v>958</v>
      </c>
      <c r="B16" s="3" t="s">
        <v>210</v>
      </c>
      <c r="C16" s="3" t="s">
        <v>211</v>
      </c>
      <c r="D16" s="3" t="s">
        <v>146</v>
      </c>
      <c r="E16" s="3" t="str">
        <f>INDEX(LEGENDA!$A$5:$B$15,MATCH(D16,LEGENDA!$B$5:$B$15,0),1)</f>
        <v>1</v>
      </c>
      <c r="F16" s="3" t="s">
        <v>212</v>
      </c>
      <c r="G16" s="3" t="s">
        <v>214</v>
      </c>
      <c r="H16" s="3" t="s">
        <v>213</v>
      </c>
      <c r="I16" s="6" t="s">
        <v>148</v>
      </c>
      <c r="J16" s="3"/>
      <c r="K16" s="3"/>
    </row>
    <row r="17" spans="1:11" ht="30.7" hidden="1" x14ac:dyDescent="0.3">
      <c r="A17" s="3" t="s">
        <v>958</v>
      </c>
      <c r="B17" s="3" t="s">
        <v>215</v>
      </c>
      <c r="C17" s="3" t="s">
        <v>216</v>
      </c>
      <c r="D17" s="3" t="s">
        <v>177</v>
      </c>
      <c r="E17" s="3" t="str">
        <f>INDEX(LEGENDA!$A$5:$B$15,MATCH(D17,LEGENDA!$B$5:$B$15,0),1)</f>
        <v>2</v>
      </c>
      <c r="F17" s="3" t="s">
        <v>103</v>
      </c>
      <c r="G17" s="3" t="s">
        <v>218</v>
      </c>
      <c r="H17" s="3" t="s">
        <v>217</v>
      </c>
      <c r="I17" s="6" t="s">
        <v>148</v>
      </c>
      <c r="J17" s="3"/>
      <c r="K17" s="3"/>
    </row>
    <row r="18" spans="1:11" ht="30.7" hidden="1" x14ac:dyDescent="0.3">
      <c r="A18" s="3" t="s">
        <v>958</v>
      </c>
      <c r="B18" s="3" t="s">
        <v>219</v>
      </c>
      <c r="C18" s="3" t="s">
        <v>220</v>
      </c>
      <c r="D18" s="3" t="s">
        <v>166</v>
      </c>
      <c r="E18" s="3" t="str">
        <f>INDEX(LEGENDA!$A$5:$B$15,MATCH(D18,LEGENDA!$B$5:$B$15,0),1)</f>
        <v>9</v>
      </c>
      <c r="F18" s="3" t="s">
        <v>103</v>
      </c>
      <c r="G18" s="3" t="s">
        <v>222</v>
      </c>
      <c r="H18" s="3" t="s">
        <v>221</v>
      </c>
      <c r="I18" s="6" t="s">
        <v>148</v>
      </c>
      <c r="J18" s="3"/>
      <c r="K18" s="3"/>
    </row>
    <row r="19" spans="1:11" ht="30.7" hidden="1" x14ac:dyDescent="0.3">
      <c r="A19" s="3" t="s">
        <v>958</v>
      </c>
      <c r="B19" s="3" t="s">
        <v>223</v>
      </c>
      <c r="C19" s="3" t="s">
        <v>224</v>
      </c>
      <c r="D19" s="3" t="s">
        <v>166</v>
      </c>
      <c r="E19" s="3" t="str">
        <f>INDEX(LEGENDA!$A$5:$B$15,MATCH(D19,LEGENDA!$B$5:$B$15,0),1)</f>
        <v>9</v>
      </c>
      <c r="F19" s="3" t="s">
        <v>103</v>
      </c>
      <c r="G19" s="3" t="s">
        <v>226</v>
      </c>
      <c r="H19" s="3" t="s">
        <v>225</v>
      </c>
      <c r="I19" s="6" t="s">
        <v>148</v>
      </c>
      <c r="J19" s="3"/>
      <c r="K19" s="3"/>
    </row>
    <row r="20" spans="1:11" ht="30.7" hidden="1" x14ac:dyDescent="0.3">
      <c r="A20" s="3" t="s">
        <v>958</v>
      </c>
      <c r="B20" s="3" t="s">
        <v>227</v>
      </c>
      <c r="C20" s="3" t="s">
        <v>228</v>
      </c>
      <c r="D20" s="3" t="s">
        <v>166</v>
      </c>
      <c r="E20" s="3" t="str">
        <f>INDEX(LEGENDA!$A$5:$B$15,MATCH(D20,LEGENDA!$B$5:$B$15,0),1)</f>
        <v>9</v>
      </c>
      <c r="F20" s="3" t="s">
        <v>103</v>
      </c>
      <c r="G20" s="3" t="s">
        <v>230</v>
      </c>
      <c r="H20" s="3" t="s">
        <v>229</v>
      </c>
      <c r="I20" s="6" t="s">
        <v>148</v>
      </c>
      <c r="J20" s="3"/>
      <c r="K20" s="3"/>
    </row>
    <row r="21" spans="1:11" hidden="1" x14ac:dyDescent="0.3">
      <c r="A21" s="3" t="s">
        <v>958</v>
      </c>
      <c r="B21" s="3" t="s">
        <v>231</v>
      </c>
      <c r="C21" s="3" t="s">
        <v>232</v>
      </c>
      <c r="D21" s="3" t="s">
        <v>166</v>
      </c>
      <c r="E21" s="3" t="str">
        <f>INDEX(LEGENDA!$A$5:$B$15,MATCH(D21,LEGENDA!$B$5:$B$15,0),1)</f>
        <v>9</v>
      </c>
      <c r="F21" s="3" t="s">
        <v>103</v>
      </c>
      <c r="G21" s="3" t="s">
        <v>234</v>
      </c>
      <c r="H21" s="3" t="s">
        <v>233</v>
      </c>
      <c r="I21" s="6" t="s">
        <v>148</v>
      </c>
      <c r="J21" s="3"/>
      <c r="K21" s="3"/>
    </row>
    <row r="22" spans="1:11" hidden="1" x14ac:dyDescent="0.3">
      <c r="A22" s="3" t="s">
        <v>958</v>
      </c>
      <c r="B22" s="3" t="s">
        <v>235</v>
      </c>
      <c r="C22" s="3" t="s">
        <v>236</v>
      </c>
      <c r="D22" s="3" t="s">
        <v>191</v>
      </c>
      <c r="E22" s="3" t="str">
        <f>INDEX(LEGENDA!$A$5:$B$15,MATCH(D22,LEGENDA!$B$5:$B$15,0),1)</f>
        <v>3</v>
      </c>
      <c r="F22" s="3" t="s">
        <v>103</v>
      </c>
      <c r="G22" s="3" t="s">
        <v>238</v>
      </c>
      <c r="H22" s="3" t="s">
        <v>237</v>
      </c>
      <c r="I22" s="7" t="s">
        <v>168</v>
      </c>
      <c r="J22" s="3"/>
      <c r="K22" s="3"/>
    </row>
    <row r="23" spans="1:11" hidden="1" x14ac:dyDescent="0.3">
      <c r="A23" s="3" t="s">
        <v>958</v>
      </c>
      <c r="B23" s="3" t="s">
        <v>239</v>
      </c>
      <c r="C23" s="3" t="s">
        <v>240</v>
      </c>
      <c r="D23" s="3" t="s">
        <v>191</v>
      </c>
      <c r="E23" s="3" t="str">
        <f>INDEX(LEGENDA!$A$5:$B$15,MATCH(D23,LEGENDA!$B$5:$B$15,0),1)</f>
        <v>3</v>
      </c>
      <c r="F23" s="3" t="s">
        <v>212</v>
      </c>
      <c r="G23" s="3" t="s">
        <v>242</v>
      </c>
      <c r="H23" s="3" t="s">
        <v>241</v>
      </c>
      <c r="I23" s="6" t="s">
        <v>148</v>
      </c>
      <c r="J23" s="3"/>
      <c r="K23" s="3"/>
    </row>
    <row r="24" spans="1:11" ht="30.7" hidden="1" x14ac:dyDescent="0.3">
      <c r="A24" s="5" t="s">
        <v>959</v>
      </c>
      <c r="B24" s="3" t="s">
        <v>243</v>
      </c>
      <c r="C24" s="3" t="s">
        <v>244</v>
      </c>
      <c r="D24" s="3" t="s">
        <v>146</v>
      </c>
      <c r="E24" s="3" t="str">
        <f>INDEX(LEGENDA!$A$5:$B$15,MATCH(D24,LEGENDA!$B$5:$B$15,0),1)</f>
        <v>1</v>
      </c>
      <c r="F24" s="3" t="s">
        <v>107</v>
      </c>
      <c r="G24" s="3" t="s">
        <v>246</v>
      </c>
      <c r="H24" s="3" t="s">
        <v>245</v>
      </c>
      <c r="I24" s="6" t="s">
        <v>148</v>
      </c>
      <c r="J24" s="3"/>
      <c r="K24" s="3"/>
    </row>
    <row r="25" spans="1:11" hidden="1" x14ac:dyDescent="0.3">
      <c r="A25" s="3" t="s">
        <v>959</v>
      </c>
      <c r="B25" s="3" t="s">
        <v>247</v>
      </c>
      <c r="C25" s="3" t="s">
        <v>248</v>
      </c>
      <c r="D25" s="3" t="s">
        <v>177</v>
      </c>
      <c r="E25" s="3" t="str">
        <f>INDEX(LEGENDA!$A$5:$B$15,MATCH(D25,LEGENDA!$B$5:$B$15,0),1)</f>
        <v>2</v>
      </c>
      <c r="F25" s="3" t="s">
        <v>107</v>
      </c>
      <c r="G25" s="3" t="s">
        <v>250</v>
      </c>
      <c r="H25" s="3" t="s">
        <v>249</v>
      </c>
      <c r="I25" s="6" t="s">
        <v>148</v>
      </c>
      <c r="J25" s="3"/>
      <c r="K25" s="3"/>
    </row>
    <row r="26" spans="1:11" hidden="1" x14ac:dyDescent="0.3">
      <c r="A26" s="3" t="s">
        <v>959</v>
      </c>
      <c r="B26" s="3" t="s">
        <v>251</v>
      </c>
      <c r="C26" s="3" t="s">
        <v>252</v>
      </c>
      <c r="D26" s="3" t="s">
        <v>191</v>
      </c>
      <c r="E26" s="3" t="str">
        <f>INDEX(LEGENDA!$A$5:$B$15,MATCH(D26,LEGENDA!$B$5:$B$15,0),1)</f>
        <v>3</v>
      </c>
      <c r="F26" s="3" t="s">
        <v>107</v>
      </c>
      <c r="G26" s="3" t="s">
        <v>254</v>
      </c>
      <c r="H26" s="3" t="s">
        <v>253</v>
      </c>
      <c r="I26" s="6" t="s">
        <v>148</v>
      </c>
      <c r="J26" s="3"/>
      <c r="K26" s="3"/>
    </row>
    <row r="27" spans="1:11" ht="30.7" hidden="1" x14ac:dyDescent="0.3">
      <c r="A27" s="3" t="s">
        <v>959</v>
      </c>
      <c r="B27" s="3" t="s">
        <v>255</v>
      </c>
      <c r="C27" s="3" t="s">
        <v>256</v>
      </c>
      <c r="D27" s="3" t="s">
        <v>191</v>
      </c>
      <c r="E27" s="3" t="str">
        <f>INDEX(LEGENDA!$A$5:$B$15,MATCH(D27,LEGENDA!$B$5:$B$15,0),1)</f>
        <v>3</v>
      </c>
      <c r="F27" s="3" t="s">
        <v>107</v>
      </c>
      <c r="G27" s="3" t="s">
        <v>258</v>
      </c>
      <c r="H27" s="3" t="s">
        <v>257</v>
      </c>
      <c r="I27" s="6" t="s">
        <v>148</v>
      </c>
      <c r="J27" s="3"/>
      <c r="K27" s="3"/>
    </row>
    <row r="28" spans="1:11" hidden="1" x14ac:dyDescent="0.3">
      <c r="A28" s="3" t="s">
        <v>959</v>
      </c>
      <c r="B28" s="3" t="s">
        <v>259</v>
      </c>
      <c r="C28" s="3" t="s">
        <v>260</v>
      </c>
      <c r="D28" s="3" t="s">
        <v>191</v>
      </c>
      <c r="E28" s="3" t="str">
        <f>INDEX(LEGENDA!$A$5:$B$15,MATCH(D28,LEGENDA!$B$5:$B$15,0),1)</f>
        <v>3</v>
      </c>
      <c r="F28" s="3" t="s">
        <v>107</v>
      </c>
      <c r="G28" s="3" t="s">
        <v>262</v>
      </c>
      <c r="H28" s="3" t="s">
        <v>261</v>
      </c>
      <c r="I28" s="6" t="s">
        <v>148</v>
      </c>
      <c r="J28" s="3"/>
      <c r="K28" s="3"/>
    </row>
    <row r="29" spans="1:11" hidden="1" x14ac:dyDescent="0.3">
      <c r="A29" s="3" t="s">
        <v>959</v>
      </c>
      <c r="B29" s="3" t="s">
        <v>263</v>
      </c>
      <c r="C29" s="3" t="s">
        <v>264</v>
      </c>
      <c r="D29" s="3" t="s">
        <v>191</v>
      </c>
      <c r="E29" s="3" t="str">
        <f>INDEX(LEGENDA!$A$5:$B$15,MATCH(D29,LEGENDA!$B$5:$B$15,0),1)</f>
        <v>3</v>
      </c>
      <c r="F29" s="3" t="s">
        <v>107</v>
      </c>
      <c r="G29" s="3" t="s">
        <v>266</v>
      </c>
      <c r="H29" s="3" t="s">
        <v>265</v>
      </c>
      <c r="I29" s="6" t="s">
        <v>148</v>
      </c>
      <c r="J29" s="3"/>
      <c r="K29" s="3"/>
    </row>
    <row r="30" spans="1:11" ht="30.7" hidden="1" x14ac:dyDescent="0.3">
      <c r="A30" s="3" t="s">
        <v>959</v>
      </c>
      <c r="B30" s="3" t="s">
        <v>267</v>
      </c>
      <c r="C30" s="3" t="s">
        <v>268</v>
      </c>
      <c r="D30" s="3" t="s">
        <v>166</v>
      </c>
      <c r="E30" s="3" t="str">
        <f>INDEX(LEGENDA!$A$5:$B$15,MATCH(D30,LEGENDA!$B$5:$B$15,0),1)</f>
        <v>9</v>
      </c>
      <c r="F30" s="3" t="s">
        <v>269</v>
      </c>
      <c r="G30" s="3" t="s">
        <v>271</v>
      </c>
      <c r="H30" s="3" t="s">
        <v>270</v>
      </c>
      <c r="I30" s="6" t="s">
        <v>148</v>
      </c>
      <c r="J30" s="3"/>
      <c r="K30" s="3"/>
    </row>
    <row r="31" spans="1:11" ht="30.7" hidden="1" x14ac:dyDescent="0.3">
      <c r="A31" s="3" t="s">
        <v>959</v>
      </c>
      <c r="B31" s="3" t="s">
        <v>272</v>
      </c>
      <c r="C31" s="3" t="s">
        <v>273</v>
      </c>
      <c r="D31" s="3" t="s">
        <v>274</v>
      </c>
      <c r="E31" s="3" t="str">
        <f>INDEX(LEGENDA!$A$5:$B$15,MATCH(D31,LEGENDA!$B$5:$B$15,0),1)</f>
        <v>4</v>
      </c>
      <c r="F31" s="3" t="s">
        <v>107</v>
      </c>
      <c r="G31" s="3" t="s">
        <v>276</v>
      </c>
      <c r="H31" s="3" t="s">
        <v>275</v>
      </c>
      <c r="I31" s="7" t="s">
        <v>168</v>
      </c>
      <c r="J31" s="3"/>
      <c r="K31" s="3"/>
    </row>
    <row r="32" spans="1:11" ht="30.7" hidden="1" x14ac:dyDescent="0.3">
      <c r="A32" s="5" t="s">
        <v>960</v>
      </c>
      <c r="B32" s="3" t="s">
        <v>277</v>
      </c>
      <c r="C32" s="3" t="s">
        <v>278</v>
      </c>
      <c r="D32" s="3" t="s">
        <v>146</v>
      </c>
      <c r="E32" s="3" t="str">
        <f>INDEX(LEGENDA!$A$5:$B$15,MATCH(D32,LEGENDA!$B$5:$B$15,0),1)</f>
        <v>1</v>
      </c>
      <c r="F32" s="3" t="s">
        <v>107</v>
      </c>
      <c r="G32" s="3" t="s">
        <v>280</v>
      </c>
      <c r="H32" s="3" t="s">
        <v>279</v>
      </c>
      <c r="I32" s="6" t="s">
        <v>148</v>
      </c>
      <c r="J32" s="3"/>
      <c r="K32" s="3"/>
    </row>
    <row r="33" spans="1:11" hidden="1" x14ac:dyDescent="0.3">
      <c r="A33" s="3" t="s">
        <v>960</v>
      </c>
      <c r="B33" s="3" t="s">
        <v>281</v>
      </c>
      <c r="C33" s="3" t="s">
        <v>282</v>
      </c>
      <c r="D33" s="3" t="s">
        <v>146</v>
      </c>
      <c r="E33" s="3" t="str">
        <f>INDEX(LEGENDA!$A$5:$B$15,MATCH(D33,LEGENDA!$B$5:$B$15,0),1)</f>
        <v>1</v>
      </c>
      <c r="F33" s="3" t="s">
        <v>107</v>
      </c>
      <c r="G33" s="3" t="s">
        <v>284</v>
      </c>
      <c r="H33" s="3" t="s">
        <v>283</v>
      </c>
      <c r="I33" s="6" t="s">
        <v>148</v>
      </c>
      <c r="J33" s="3"/>
      <c r="K33" s="3"/>
    </row>
    <row r="34" spans="1:11" ht="30.7" hidden="1" x14ac:dyDescent="0.3">
      <c r="A34" s="3" t="s">
        <v>960</v>
      </c>
      <c r="B34" s="3" t="s">
        <v>285</v>
      </c>
      <c r="C34" s="3" t="s">
        <v>286</v>
      </c>
      <c r="D34" s="3" t="s">
        <v>177</v>
      </c>
      <c r="E34" s="3" t="str">
        <f>INDEX(LEGENDA!$A$5:$B$15,MATCH(D34,LEGENDA!$B$5:$B$15,0),1)</f>
        <v>2</v>
      </c>
      <c r="F34" s="3" t="s">
        <v>107</v>
      </c>
      <c r="G34" s="3" t="s">
        <v>288</v>
      </c>
      <c r="H34" s="3" t="s">
        <v>287</v>
      </c>
      <c r="I34" s="6" t="s">
        <v>148</v>
      </c>
      <c r="J34" s="3"/>
      <c r="K34" s="3"/>
    </row>
    <row r="35" spans="1:11" ht="30.7" hidden="1" x14ac:dyDescent="0.3">
      <c r="A35" s="3" t="s">
        <v>960</v>
      </c>
      <c r="B35" s="3" t="s">
        <v>289</v>
      </c>
      <c r="C35" s="3" t="s">
        <v>290</v>
      </c>
      <c r="D35" s="3" t="s">
        <v>191</v>
      </c>
      <c r="E35" s="3" t="str">
        <f>INDEX(LEGENDA!$A$5:$B$15,MATCH(D35,LEGENDA!$B$5:$B$15,0),1)</f>
        <v>3</v>
      </c>
      <c r="F35" s="3" t="s">
        <v>107</v>
      </c>
      <c r="G35" s="3" t="s">
        <v>292</v>
      </c>
      <c r="H35" s="3" t="s">
        <v>291</v>
      </c>
      <c r="I35" s="6" t="s">
        <v>148</v>
      </c>
      <c r="J35" s="3"/>
      <c r="K35" s="3"/>
    </row>
    <row r="36" spans="1:11" hidden="1" x14ac:dyDescent="0.3">
      <c r="A36" s="3" t="s">
        <v>960</v>
      </c>
      <c r="B36" s="3" t="s">
        <v>293</v>
      </c>
      <c r="C36" s="3" t="s">
        <v>294</v>
      </c>
      <c r="D36" s="3" t="s">
        <v>191</v>
      </c>
      <c r="E36" s="3" t="str">
        <f>INDEX(LEGENDA!$A$5:$B$15,MATCH(D36,LEGENDA!$B$5:$B$15,0),1)</f>
        <v>3</v>
      </c>
      <c r="F36" s="3" t="s">
        <v>107</v>
      </c>
      <c r="G36" s="3" t="s">
        <v>296</v>
      </c>
      <c r="H36" s="3" t="s">
        <v>295</v>
      </c>
      <c r="I36" s="6" t="s">
        <v>148</v>
      </c>
      <c r="J36" s="3"/>
      <c r="K36" s="3"/>
    </row>
    <row r="37" spans="1:11" ht="30.7" hidden="1" x14ac:dyDescent="0.3">
      <c r="A37" s="3" t="s">
        <v>960</v>
      </c>
      <c r="B37" s="3" t="s">
        <v>297</v>
      </c>
      <c r="C37" s="3" t="s">
        <v>298</v>
      </c>
      <c r="D37" s="3" t="s">
        <v>191</v>
      </c>
      <c r="E37" s="3" t="str">
        <f>INDEX(LEGENDA!$A$5:$B$15,MATCH(D37,LEGENDA!$B$5:$B$15,0),1)</f>
        <v>3</v>
      </c>
      <c r="F37" s="3" t="s">
        <v>299</v>
      </c>
      <c r="G37" s="3" t="s">
        <v>301</v>
      </c>
      <c r="H37" s="3" t="s">
        <v>300</v>
      </c>
      <c r="I37" s="6" t="s">
        <v>148</v>
      </c>
      <c r="J37" s="3"/>
      <c r="K37" s="3"/>
    </row>
    <row r="38" spans="1:11" hidden="1" x14ac:dyDescent="0.3">
      <c r="A38" s="3" t="s">
        <v>960</v>
      </c>
      <c r="B38" s="3" t="s">
        <v>302</v>
      </c>
      <c r="C38" s="3" t="s">
        <v>303</v>
      </c>
      <c r="D38" s="3" t="s">
        <v>191</v>
      </c>
      <c r="E38" s="3" t="str">
        <f>INDEX(LEGENDA!$A$5:$B$15,MATCH(D38,LEGENDA!$B$5:$B$15,0),1)</f>
        <v>3</v>
      </c>
      <c r="F38" s="3" t="s">
        <v>107</v>
      </c>
      <c r="G38" s="3" t="s">
        <v>305</v>
      </c>
      <c r="H38" s="3" t="s">
        <v>304</v>
      </c>
      <c r="I38" s="7" t="s">
        <v>168</v>
      </c>
      <c r="J38" s="3"/>
      <c r="K38" s="3"/>
    </row>
    <row r="39" spans="1:11" hidden="1" x14ac:dyDescent="0.3">
      <c r="A39" s="3" t="s">
        <v>960</v>
      </c>
      <c r="B39" s="3" t="s">
        <v>306</v>
      </c>
      <c r="C39" s="3" t="s">
        <v>307</v>
      </c>
      <c r="D39" s="3" t="s">
        <v>166</v>
      </c>
      <c r="E39" s="3" t="str">
        <f>INDEX(LEGENDA!$A$5:$B$15,MATCH(D39,LEGENDA!$B$5:$B$15,0),1)</f>
        <v>9</v>
      </c>
      <c r="F39" s="3" t="s">
        <v>212</v>
      </c>
      <c r="G39" s="3" t="s">
        <v>309</v>
      </c>
      <c r="H39" s="3" t="s">
        <v>308</v>
      </c>
      <c r="I39" s="6" t="s">
        <v>148</v>
      </c>
      <c r="J39" s="3"/>
      <c r="K39" s="3"/>
    </row>
    <row r="40" spans="1:11" ht="30.7" hidden="1" x14ac:dyDescent="0.3">
      <c r="A40" s="5" t="s">
        <v>961</v>
      </c>
      <c r="B40" s="3" t="s">
        <v>310</v>
      </c>
      <c r="C40" s="3" t="s">
        <v>311</v>
      </c>
      <c r="D40" s="3" t="s">
        <v>146</v>
      </c>
      <c r="E40" s="3" t="str">
        <f>INDEX(LEGENDA!$A$5:$B$15,MATCH(D40,LEGENDA!$B$5:$B$15,0),1)</f>
        <v>1</v>
      </c>
      <c r="F40" s="3" t="s">
        <v>107</v>
      </c>
      <c r="G40" s="3" t="s">
        <v>313</v>
      </c>
      <c r="H40" s="3" t="s">
        <v>312</v>
      </c>
      <c r="I40" s="6" t="s">
        <v>148</v>
      </c>
      <c r="J40" s="3"/>
      <c r="K40" s="3"/>
    </row>
    <row r="41" spans="1:11" hidden="1" x14ac:dyDescent="0.3">
      <c r="A41" s="3" t="s">
        <v>961</v>
      </c>
      <c r="B41" s="3" t="s">
        <v>314</v>
      </c>
      <c r="C41" s="3" t="s">
        <v>315</v>
      </c>
      <c r="D41" s="3" t="s">
        <v>177</v>
      </c>
      <c r="E41" s="3" t="str">
        <f>INDEX(LEGENDA!$A$5:$B$15,MATCH(D41,LEGENDA!$B$5:$B$15,0),1)</f>
        <v>2</v>
      </c>
      <c r="F41" s="3" t="s">
        <v>107</v>
      </c>
      <c r="G41" s="3" t="s">
        <v>317</v>
      </c>
      <c r="H41" s="3" t="s">
        <v>316</v>
      </c>
      <c r="I41" s="6" t="s">
        <v>148</v>
      </c>
      <c r="J41" s="3"/>
      <c r="K41" s="3"/>
    </row>
    <row r="42" spans="1:11" hidden="1" x14ac:dyDescent="0.3">
      <c r="A42" s="3" t="s">
        <v>961</v>
      </c>
      <c r="B42" s="3" t="s">
        <v>318</v>
      </c>
      <c r="C42" s="3" t="s">
        <v>319</v>
      </c>
      <c r="D42" s="3" t="s">
        <v>191</v>
      </c>
      <c r="E42" s="3" t="str">
        <f>INDEX(LEGENDA!$A$5:$B$15,MATCH(D42,LEGENDA!$B$5:$B$15,0),1)</f>
        <v>3</v>
      </c>
      <c r="F42" s="3" t="s">
        <v>107</v>
      </c>
      <c r="G42" s="3" t="s">
        <v>321</v>
      </c>
      <c r="H42" s="3" t="s">
        <v>320</v>
      </c>
      <c r="I42" s="6" t="s">
        <v>148</v>
      </c>
      <c r="J42" s="3"/>
      <c r="K42" s="3"/>
    </row>
    <row r="43" spans="1:11" hidden="1" x14ac:dyDescent="0.3">
      <c r="A43" s="3" t="s">
        <v>961</v>
      </c>
      <c r="B43" s="3" t="s">
        <v>322</v>
      </c>
      <c r="C43" s="3" t="s">
        <v>323</v>
      </c>
      <c r="D43" s="3" t="s">
        <v>191</v>
      </c>
      <c r="E43" s="3" t="str">
        <f>INDEX(LEGENDA!$A$5:$B$15,MATCH(D43,LEGENDA!$B$5:$B$15,0),1)</f>
        <v>3</v>
      </c>
      <c r="F43" s="3" t="s">
        <v>107</v>
      </c>
      <c r="G43" s="3" t="s">
        <v>325</v>
      </c>
      <c r="H43" s="3" t="s">
        <v>324</v>
      </c>
      <c r="I43" s="6" t="s">
        <v>148</v>
      </c>
      <c r="J43" s="3"/>
      <c r="K43" s="3"/>
    </row>
    <row r="44" spans="1:11" hidden="1" x14ac:dyDescent="0.3">
      <c r="A44" s="3" t="s">
        <v>961</v>
      </c>
      <c r="B44" s="3" t="s">
        <v>326</v>
      </c>
      <c r="C44" s="3" t="s">
        <v>327</v>
      </c>
      <c r="D44" s="3" t="s">
        <v>191</v>
      </c>
      <c r="E44" s="3" t="str">
        <f>INDEX(LEGENDA!$A$5:$B$15,MATCH(D44,LEGENDA!$B$5:$B$15,0),1)</f>
        <v>3</v>
      </c>
      <c r="F44" s="3" t="s">
        <v>107</v>
      </c>
      <c r="G44" s="3" t="s">
        <v>329</v>
      </c>
      <c r="H44" s="3" t="s">
        <v>328</v>
      </c>
      <c r="I44" s="7" t="s">
        <v>168</v>
      </c>
      <c r="J44" s="3"/>
      <c r="K44" s="3"/>
    </row>
    <row r="45" spans="1:11" hidden="1" x14ac:dyDescent="0.3">
      <c r="A45" s="3" t="s">
        <v>961</v>
      </c>
      <c r="B45" s="3" t="s">
        <v>330</v>
      </c>
      <c r="C45" s="3" t="s">
        <v>331</v>
      </c>
      <c r="D45" s="3" t="s">
        <v>191</v>
      </c>
      <c r="E45" s="3" t="str">
        <f>INDEX(LEGENDA!$A$5:$B$15,MATCH(D45,LEGENDA!$B$5:$B$15,0),1)</f>
        <v>3</v>
      </c>
      <c r="F45" s="3" t="s">
        <v>269</v>
      </c>
      <c r="G45" s="3" t="s">
        <v>333</v>
      </c>
      <c r="H45" s="3" t="s">
        <v>332</v>
      </c>
      <c r="I45" s="6" t="s">
        <v>148</v>
      </c>
      <c r="J45" s="3"/>
      <c r="K45" s="3"/>
    </row>
    <row r="46" spans="1:11" hidden="1" x14ac:dyDescent="0.3">
      <c r="A46" s="3" t="s">
        <v>961</v>
      </c>
      <c r="B46" s="3" t="s">
        <v>334</v>
      </c>
      <c r="C46" s="3" t="s">
        <v>335</v>
      </c>
      <c r="D46" s="3" t="s">
        <v>161</v>
      </c>
      <c r="E46" s="3" t="e">
        <f>INDEX(LEGENDA!$A$5:$B$15,MATCH(D46,LEGENDA!$B$5:$B$15,0),1)</f>
        <v>#N/A</v>
      </c>
      <c r="F46" s="3" t="s">
        <v>212</v>
      </c>
      <c r="G46" s="3" t="s">
        <v>337</v>
      </c>
      <c r="H46" s="3" t="s">
        <v>336</v>
      </c>
      <c r="I46" s="6" t="s">
        <v>148</v>
      </c>
      <c r="J46" s="3"/>
      <c r="K46" s="3"/>
    </row>
    <row r="47" spans="1:11" hidden="1" x14ac:dyDescent="0.3">
      <c r="A47" s="3" t="s">
        <v>961</v>
      </c>
      <c r="B47" s="3" t="s">
        <v>338</v>
      </c>
      <c r="C47" s="3" t="s">
        <v>339</v>
      </c>
      <c r="D47" s="3" t="s">
        <v>166</v>
      </c>
      <c r="E47" s="3" t="str">
        <f>INDEX(LEGENDA!$A$5:$B$15,MATCH(D47,LEGENDA!$B$5:$B$15,0),1)</f>
        <v>9</v>
      </c>
      <c r="F47" s="3" t="s">
        <v>107</v>
      </c>
      <c r="G47" s="3" t="s">
        <v>341</v>
      </c>
      <c r="H47" s="3" t="s">
        <v>340</v>
      </c>
      <c r="I47" s="7" t="s">
        <v>168</v>
      </c>
      <c r="J47" s="3"/>
      <c r="K47" s="3"/>
    </row>
    <row r="48" spans="1:11" hidden="1" x14ac:dyDescent="0.3">
      <c r="A48" s="5" t="s">
        <v>962</v>
      </c>
      <c r="B48" s="3" t="s">
        <v>342</v>
      </c>
      <c r="C48" s="3" t="s">
        <v>343</v>
      </c>
      <c r="D48" s="3" t="s">
        <v>146</v>
      </c>
      <c r="E48" s="3" t="str">
        <f>INDEX(LEGENDA!$A$5:$B$15,MATCH(D48,LEGENDA!$B$5:$B$15,0),1)</f>
        <v>1</v>
      </c>
      <c r="F48" s="3" t="s">
        <v>107</v>
      </c>
      <c r="G48" s="3" t="s">
        <v>345</v>
      </c>
      <c r="H48" s="3" t="s">
        <v>344</v>
      </c>
      <c r="I48" s="6" t="s">
        <v>148</v>
      </c>
      <c r="J48" s="3"/>
      <c r="K48" s="3"/>
    </row>
    <row r="49" spans="1:11" ht="30.7" hidden="1" x14ac:dyDescent="0.3">
      <c r="A49" s="3" t="s">
        <v>962</v>
      </c>
      <c r="B49" s="3" t="s">
        <v>346</v>
      </c>
      <c r="C49" s="3" t="s">
        <v>347</v>
      </c>
      <c r="D49" s="3" t="s">
        <v>177</v>
      </c>
      <c r="E49" s="3" t="str">
        <f>INDEX(LEGENDA!$A$5:$B$15,MATCH(D49,LEGENDA!$B$5:$B$15,0),1)</f>
        <v>2</v>
      </c>
      <c r="F49" s="3" t="s">
        <v>269</v>
      </c>
      <c r="G49" s="3" t="s">
        <v>349</v>
      </c>
      <c r="H49" s="3" t="s">
        <v>348</v>
      </c>
      <c r="I49" s="6" t="s">
        <v>148</v>
      </c>
      <c r="J49" s="3"/>
      <c r="K49" s="3"/>
    </row>
    <row r="50" spans="1:11" ht="30.7" hidden="1" x14ac:dyDescent="0.3">
      <c r="A50" s="3" t="s">
        <v>962</v>
      </c>
      <c r="B50" s="3" t="s">
        <v>350</v>
      </c>
      <c r="C50" s="3" t="s">
        <v>351</v>
      </c>
      <c r="D50" s="3" t="s">
        <v>191</v>
      </c>
      <c r="E50" s="3" t="str">
        <f>INDEX(LEGENDA!$A$5:$B$15,MATCH(D50,LEGENDA!$B$5:$B$15,0),1)</f>
        <v>3</v>
      </c>
      <c r="F50" s="3" t="s">
        <v>107</v>
      </c>
      <c r="G50" s="3" t="s">
        <v>353</v>
      </c>
      <c r="H50" s="3" t="s">
        <v>352</v>
      </c>
      <c r="I50" s="6" t="s">
        <v>148</v>
      </c>
      <c r="J50" s="3"/>
      <c r="K50" s="3"/>
    </row>
    <row r="51" spans="1:11" ht="30.7" hidden="1" x14ac:dyDescent="0.3">
      <c r="A51" s="3" t="s">
        <v>962</v>
      </c>
      <c r="B51" s="3" t="s">
        <v>354</v>
      </c>
      <c r="C51" s="3" t="s">
        <v>355</v>
      </c>
      <c r="D51" s="3" t="s">
        <v>191</v>
      </c>
      <c r="E51" s="3" t="str">
        <f>INDEX(LEGENDA!$A$5:$B$15,MATCH(D51,LEGENDA!$B$5:$B$15,0),1)</f>
        <v>3</v>
      </c>
      <c r="F51" s="3" t="s">
        <v>269</v>
      </c>
      <c r="G51" s="3" t="s">
        <v>357</v>
      </c>
      <c r="H51" s="3" t="s">
        <v>356</v>
      </c>
      <c r="I51" s="6" t="s">
        <v>148</v>
      </c>
      <c r="J51" s="3"/>
      <c r="K51" s="3"/>
    </row>
    <row r="52" spans="1:11" hidden="1" x14ac:dyDescent="0.3">
      <c r="A52" s="3" t="s">
        <v>962</v>
      </c>
      <c r="B52" s="3" t="s">
        <v>358</v>
      </c>
      <c r="C52" s="3" t="s">
        <v>359</v>
      </c>
      <c r="D52" s="3" t="s">
        <v>191</v>
      </c>
      <c r="E52" s="3" t="str">
        <f>INDEX(LEGENDA!$A$5:$B$15,MATCH(D52,LEGENDA!$B$5:$B$15,0),1)</f>
        <v>3</v>
      </c>
      <c r="F52" s="3" t="s">
        <v>107</v>
      </c>
      <c r="G52" s="3" t="s">
        <v>361</v>
      </c>
      <c r="H52" s="3" t="s">
        <v>360</v>
      </c>
      <c r="I52" s="6" t="s">
        <v>148</v>
      </c>
      <c r="J52" s="3"/>
      <c r="K52" s="3"/>
    </row>
    <row r="53" spans="1:11" hidden="1" x14ac:dyDescent="0.3">
      <c r="A53" s="3" t="s">
        <v>962</v>
      </c>
      <c r="B53" s="3" t="s">
        <v>362</v>
      </c>
      <c r="C53" s="3" t="s">
        <v>363</v>
      </c>
      <c r="D53" s="3" t="s">
        <v>274</v>
      </c>
      <c r="E53" s="3" t="str">
        <f>INDEX(LEGENDA!$A$5:$B$15,MATCH(D53,LEGENDA!$B$5:$B$15,0),1)</f>
        <v>4</v>
      </c>
      <c r="F53" s="3" t="s">
        <v>107</v>
      </c>
      <c r="G53" s="3" t="s">
        <v>365</v>
      </c>
      <c r="H53" s="3" t="s">
        <v>364</v>
      </c>
      <c r="I53" s="7" t="s">
        <v>168</v>
      </c>
      <c r="J53" s="3"/>
      <c r="K53" s="3"/>
    </row>
    <row r="54" spans="1:11" hidden="1" x14ac:dyDescent="0.3">
      <c r="A54" s="3" t="s">
        <v>962</v>
      </c>
      <c r="B54" s="3" t="s">
        <v>366</v>
      </c>
      <c r="C54" s="3" t="s">
        <v>367</v>
      </c>
      <c r="D54" s="3" t="s">
        <v>274</v>
      </c>
      <c r="E54" s="3" t="str">
        <f>INDEX(LEGENDA!$A$5:$B$15,MATCH(D54,LEGENDA!$B$5:$B$15,0),1)</f>
        <v>4</v>
      </c>
      <c r="F54" s="3" t="s">
        <v>107</v>
      </c>
      <c r="G54" s="3" t="s">
        <v>369</v>
      </c>
      <c r="H54" s="3" t="s">
        <v>368</v>
      </c>
      <c r="I54" s="7" t="s">
        <v>168</v>
      </c>
      <c r="J54" s="3"/>
      <c r="K54" s="3"/>
    </row>
    <row r="55" spans="1:11" ht="30.7" hidden="1" x14ac:dyDescent="0.3">
      <c r="A55" s="5" t="s">
        <v>963</v>
      </c>
      <c r="B55" s="3" t="s">
        <v>370</v>
      </c>
      <c r="C55" s="3" t="s">
        <v>371</v>
      </c>
      <c r="D55" s="3" t="s">
        <v>177</v>
      </c>
      <c r="E55" s="3" t="str">
        <f>INDEX(LEGENDA!$A$5:$B$15,MATCH(D55,LEGENDA!$B$5:$B$15,0),1)</f>
        <v>2</v>
      </c>
      <c r="F55" s="3" t="s">
        <v>212</v>
      </c>
      <c r="G55" s="3" t="s">
        <v>373</v>
      </c>
      <c r="H55" s="3" t="s">
        <v>372</v>
      </c>
      <c r="I55" s="6" t="s">
        <v>148</v>
      </c>
      <c r="J55" s="3"/>
      <c r="K55" s="3"/>
    </row>
    <row r="56" spans="1:11" ht="30.7" hidden="1" x14ac:dyDescent="0.3">
      <c r="A56" s="3" t="s">
        <v>963</v>
      </c>
      <c r="B56" s="3" t="s">
        <v>374</v>
      </c>
      <c r="C56" s="3" t="s">
        <v>375</v>
      </c>
      <c r="D56" s="3" t="s">
        <v>191</v>
      </c>
      <c r="E56" s="3" t="str">
        <f>INDEX(LEGENDA!$A$5:$B$15,MATCH(D56,LEGENDA!$B$5:$B$15,0),1)</f>
        <v>3</v>
      </c>
      <c r="F56" s="3" t="s">
        <v>103</v>
      </c>
      <c r="G56" s="3" t="s">
        <v>377</v>
      </c>
      <c r="H56" s="3" t="s">
        <v>376</v>
      </c>
      <c r="I56" s="6" t="s">
        <v>148</v>
      </c>
      <c r="J56" s="3"/>
      <c r="K56" s="3"/>
    </row>
    <row r="57" spans="1:11" hidden="1" x14ac:dyDescent="0.3">
      <c r="A57" s="3" t="s">
        <v>963</v>
      </c>
      <c r="B57" s="3" t="s">
        <v>378</v>
      </c>
      <c r="C57" s="3" t="s">
        <v>379</v>
      </c>
      <c r="D57" s="3" t="s">
        <v>191</v>
      </c>
      <c r="E57" s="3" t="str">
        <f>INDEX(LEGENDA!$A$5:$B$15,MATCH(D57,LEGENDA!$B$5:$B$15,0),1)</f>
        <v>3</v>
      </c>
      <c r="F57" s="3" t="s">
        <v>103</v>
      </c>
      <c r="G57" s="3" t="s">
        <v>381</v>
      </c>
      <c r="H57" s="3" t="s">
        <v>380</v>
      </c>
      <c r="I57" s="7" t="s">
        <v>168</v>
      </c>
      <c r="J57" s="3"/>
      <c r="K57" s="3"/>
    </row>
    <row r="58" spans="1:11" ht="30.7" hidden="1" x14ac:dyDescent="0.3">
      <c r="A58" s="3" t="s">
        <v>963</v>
      </c>
      <c r="B58" s="3" t="s">
        <v>382</v>
      </c>
      <c r="C58" s="3" t="s">
        <v>383</v>
      </c>
      <c r="D58" s="3" t="s">
        <v>191</v>
      </c>
      <c r="E58" s="3" t="str">
        <f>INDEX(LEGENDA!$A$5:$B$15,MATCH(D58,LEGENDA!$B$5:$B$15,0),1)</f>
        <v>3</v>
      </c>
      <c r="F58" s="3" t="s">
        <v>107</v>
      </c>
      <c r="G58" s="3" t="s">
        <v>385</v>
      </c>
      <c r="H58" s="3" t="s">
        <v>384</v>
      </c>
      <c r="I58" s="6" t="s">
        <v>148</v>
      </c>
      <c r="J58" s="3"/>
      <c r="K58" s="3"/>
    </row>
    <row r="59" spans="1:11" hidden="1" x14ac:dyDescent="0.3">
      <c r="A59" s="3" t="s">
        <v>963</v>
      </c>
      <c r="B59" s="3" t="s">
        <v>386</v>
      </c>
      <c r="C59" s="3" t="s">
        <v>387</v>
      </c>
      <c r="D59" s="3" t="s">
        <v>191</v>
      </c>
      <c r="E59" s="3" t="str">
        <f>INDEX(LEGENDA!$A$5:$B$15,MATCH(D59,LEGENDA!$B$5:$B$15,0),1)</f>
        <v>3</v>
      </c>
      <c r="F59" s="3" t="s">
        <v>388</v>
      </c>
      <c r="G59" s="3" t="s">
        <v>390</v>
      </c>
      <c r="H59" s="3" t="s">
        <v>389</v>
      </c>
      <c r="I59" s="7" t="s">
        <v>168</v>
      </c>
      <c r="J59" s="3"/>
      <c r="K59" s="3"/>
    </row>
    <row r="60" spans="1:11" hidden="1" x14ac:dyDescent="0.3">
      <c r="A60" s="3" t="s">
        <v>963</v>
      </c>
      <c r="B60" s="3" t="s">
        <v>391</v>
      </c>
      <c r="C60" s="3" t="s">
        <v>392</v>
      </c>
      <c r="D60" s="3" t="s">
        <v>166</v>
      </c>
      <c r="E60" s="3" t="str">
        <f>INDEX(LEGENDA!$A$5:$B$15,MATCH(D60,LEGENDA!$B$5:$B$15,0),1)</f>
        <v>9</v>
      </c>
      <c r="F60" s="3" t="s">
        <v>103</v>
      </c>
      <c r="G60" s="3" t="s">
        <v>394</v>
      </c>
      <c r="H60" s="3" t="s">
        <v>393</v>
      </c>
      <c r="I60" s="6" t="s">
        <v>148</v>
      </c>
      <c r="J60" s="3"/>
      <c r="K60" s="3"/>
    </row>
    <row r="61" spans="1:11" hidden="1" x14ac:dyDescent="0.3">
      <c r="A61" s="5" t="s">
        <v>964</v>
      </c>
      <c r="B61" s="3" t="s">
        <v>395</v>
      </c>
      <c r="C61" s="3" t="s">
        <v>396</v>
      </c>
      <c r="D61" s="3" t="s">
        <v>177</v>
      </c>
      <c r="E61" s="3" t="str">
        <f>INDEX(LEGENDA!$A$5:$B$15,MATCH(D61,LEGENDA!$B$5:$B$15,0),1)</f>
        <v>2</v>
      </c>
      <c r="F61" s="3" t="s">
        <v>107</v>
      </c>
      <c r="G61" s="3" t="s">
        <v>398</v>
      </c>
      <c r="H61" s="3" t="s">
        <v>397</v>
      </c>
      <c r="I61" s="6" t="s">
        <v>148</v>
      </c>
      <c r="J61" s="3"/>
      <c r="K61" s="3"/>
    </row>
    <row r="62" spans="1:11" hidden="1" x14ac:dyDescent="0.3">
      <c r="A62" s="3" t="s">
        <v>964</v>
      </c>
      <c r="B62" s="3" t="s">
        <v>399</v>
      </c>
      <c r="C62" s="3" t="s">
        <v>400</v>
      </c>
      <c r="D62" s="3" t="s">
        <v>191</v>
      </c>
      <c r="E62" s="3" t="str">
        <f>INDEX(LEGENDA!$A$5:$B$15,MATCH(D62,LEGENDA!$B$5:$B$15,0),1)</f>
        <v>3</v>
      </c>
      <c r="F62" s="3" t="s">
        <v>107</v>
      </c>
      <c r="G62" s="3" t="s">
        <v>402</v>
      </c>
      <c r="H62" s="3" t="s">
        <v>401</v>
      </c>
      <c r="I62" s="6" t="s">
        <v>148</v>
      </c>
      <c r="J62" s="3"/>
      <c r="K62" s="3"/>
    </row>
    <row r="63" spans="1:11" hidden="1" x14ac:dyDescent="0.3">
      <c r="A63" s="3" t="s">
        <v>964</v>
      </c>
      <c r="B63" s="3" t="s">
        <v>403</v>
      </c>
      <c r="C63" s="3" t="s">
        <v>404</v>
      </c>
      <c r="D63" s="3" t="s">
        <v>191</v>
      </c>
      <c r="E63" s="3" t="str">
        <f>INDEX(LEGENDA!$A$5:$B$15,MATCH(D63,LEGENDA!$B$5:$B$15,0),1)</f>
        <v>3</v>
      </c>
      <c r="F63" s="3" t="s">
        <v>405</v>
      </c>
      <c r="G63" s="3" t="s">
        <v>407</v>
      </c>
      <c r="H63" s="3" t="s">
        <v>406</v>
      </c>
      <c r="I63" s="6" t="s">
        <v>148</v>
      </c>
      <c r="J63" s="3"/>
      <c r="K63" s="3"/>
    </row>
    <row r="64" spans="1:11" hidden="1" x14ac:dyDescent="0.3">
      <c r="A64" s="3" t="s">
        <v>964</v>
      </c>
      <c r="B64" s="3" t="s">
        <v>408</v>
      </c>
      <c r="C64" s="3" t="s">
        <v>409</v>
      </c>
      <c r="D64" s="3" t="s">
        <v>166</v>
      </c>
      <c r="E64" s="3" t="str">
        <f>INDEX(LEGENDA!$A$5:$B$15,MATCH(D64,LEGENDA!$B$5:$B$15,0),1)</f>
        <v>9</v>
      </c>
      <c r="F64" s="3" t="s">
        <v>107</v>
      </c>
      <c r="G64" s="3" t="s">
        <v>411</v>
      </c>
      <c r="H64" s="3" t="s">
        <v>410</v>
      </c>
      <c r="I64" s="7" t="s">
        <v>168</v>
      </c>
      <c r="J64" s="3"/>
      <c r="K64" s="3"/>
    </row>
    <row r="65" spans="1:11" ht="30.7" hidden="1" x14ac:dyDescent="0.3">
      <c r="A65" s="5" t="s">
        <v>412</v>
      </c>
      <c r="B65" s="3" t="s">
        <v>413</v>
      </c>
      <c r="C65" s="3" t="s">
        <v>414</v>
      </c>
      <c r="D65" s="3" t="s">
        <v>146</v>
      </c>
      <c r="E65" s="3" t="str">
        <f>INDEX(LEGENDA!$A$5:$B$15,MATCH(D65,LEGENDA!$B$5:$B$15,0),1)</f>
        <v>1</v>
      </c>
      <c r="F65" s="3" t="s">
        <v>107</v>
      </c>
      <c r="G65" s="3" t="s">
        <v>416</v>
      </c>
      <c r="H65" s="3" t="s">
        <v>415</v>
      </c>
      <c r="I65" s="6" t="s">
        <v>148</v>
      </c>
      <c r="J65" s="3"/>
      <c r="K65" s="3"/>
    </row>
    <row r="66" spans="1:11" hidden="1" x14ac:dyDescent="0.3">
      <c r="A66" s="3" t="s">
        <v>412</v>
      </c>
      <c r="B66" s="3" t="s">
        <v>417</v>
      </c>
      <c r="C66" s="3" t="s">
        <v>418</v>
      </c>
      <c r="D66" s="3" t="s">
        <v>177</v>
      </c>
      <c r="E66" s="3" t="str">
        <f>INDEX(LEGENDA!$A$5:$B$15,MATCH(D66,LEGENDA!$B$5:$B$15,0),1)</f>
        <v>2</v>
      </c>
      <c r="F66" s="3" t="s">
        <v>107</v>
      </c>
      <c r="G66" s="3" t="s">
        <v>420</v>
      </c>
      <c r="H66" s="3" t="s">
        <v>419</v>
      </c>
      <c r="I66" s="6" t="s">
        <v>148</v>
      </c>
      <c r="J66" s="3"/>
      <c r="K66" s="3"/>
    </row>
    <row r="67" spans="1:11" hidden="1" x14ac:dyDescent="0.3">
      <c r="A67" s="3" t="s">
        <v>412</v>
      </c>
      <c r="B67" s="3" t="s">
        <v>421</v>
      </c>
      <c r="C67" s="3" t="s">
        <v>422</v>
      </c>
      <c r="D67" s="3" t="s">
        <v>191</v>
      </c>
      <c r="E67" s="3" t="str">
        <f>INDEX(LEGENDA!$A$5:$B$15,MATCH(D67,LEGENDA!$B$5:$B$15,0),1)</f>
        <v>3</v>
      </c>
      <c r="F67" s="3" t="s">
        <v>107</v>
      </c>
      <c r="G67" s="3" t="s">
        <v>424</v>
      </c>
      <c r="H67" s="3" t="s">
        <v>423</v>
      </c>
      <c r="I67" s="6" t="s">
        <v>148</v>
      </c>
      <c r="J67" s="3"/>
      <c r="K67" s="3"/>
    </row>
    <row r="68" spans="1:11" hidden="1" x14ac:dyDescent="0.3">
      <c r="A68" s="3" t="s">
        <v>412</v>
      </c>
      <c r="B68" s="3" t="s">
        <v>425</v>
      </c>
      <c r="C68" s="3" t="s">
        <v>426</v>
      </c>
      <c r="D68" s="3" t="s">
        <v>191</v>
      </c>
      <c r="E68" s="3" t="str">
        <f>INDEX(LEGENDA!$A$5:$B$15,MATCH(D68,LEGENDA!$B$5:$B$15,0),1)</f>
        <v>3</v>
      </c>
      <c r="F68" s="3" t="s">
        <v>107</v>
      </c>
      <c r="G68" s="3" t="s">
        <v>428</v>
      </c>
      <c r="H68" s="3" t="s">
        <v>427</v>
      </c>
      <c r="I68" s="7" t="s">
        <v>168</v>
      </c>
      <c r="J68" s="3"/>
      <c r="K68" s="3"/>
    </row>
    <row r="69" spans="1:11" hidden="1" x14ac:dyDescent="0.3">
      <c r="A69" s="3" t="s">
        <v>412</v>
      </c>
      <c r="B69" s="3" t="s">
        <v>429</v>
      </c>
      <c r="C69" s="3" t="s">
        <v>430</v>
      </c>
      <c r="D69" s="3" t="s">
        <v>191</v>
      </c>
      <c r="E69" s="3" t="str">
        <f>INDEX(LEGENDA!$A$5:$B$15,MATCH(D69,LEGENDA!$B$5:$B$15,0),1)</f>
        <v>3</v>
      </c>
      <c r="F69" s="3" t="s">
        <v>107</v>
      </c>
      <c r="G69" s="3" t="s">
        <v>432</v>
      </c>
      <c r="H69" s="3" t="s">
        <v>431</v>
      </c>
      <c r="I69" s="7" t="s">
        <v>168</v>
      </c>
      <c r="J69" s="3"/>
      <c r="K69" s="3"/>
    </row>
    <row r="70" spans="1:11" ht="30.7" hidden="1" x14ac:dyDescent="0.3">
      <c r="A70" s="3" t="s">
        <v>412</v>
      </c>
      <c r="B70" s="3" t="s">
        <v>433</v>
      </c>
      <c r="C70" s="3" t="s">
        <v>434</v>
      </c>
      <c r="D70" s="3" t="s">
        <v>274</v>
      </c>
      <c r="E70" s="3" t="str">
        <f>INDEX(LEGENDA!$A$5:$B$15,MATCH(D70,LEGENDA!$B$5:$B$15,0),1)</f>
        <v>4</v>
      </c>
      <c r="F70" s="3" t="s">
        <v>107</v>
      </c>
      <c r="G70" s="3" t="s">
        <v>436</v>
      </c>
      <c r="H70" s="3" t="s">
        <v>435</v>
      </c>
      <c r="I70" s="7" t="s">
        <v>168</v>
      </c>
      <c r="J70" s="3"/>
      <c r="K70" s="3"/>
    </row>
    <row r="71" spans="1:11" hidden="1" x14ac:dyDescent="0.3">
      <c r="A71" s="3" t="s">
        <v>412</v>
      </c>
      <c r="B71" s="3" t="s">
        <v>437</v>
      </c>
      <c r="C71" s="3" t="s">
        <v>438</v>
      </c>
      <c r="D71" s="3" t="s">
        <v>274</v>
      </c>
      <c r="E71" s="3" t="str">
        <f>INDEX(LEGENDA!$A$5:$B$15,MATCH(D71,LEGENDA!$B$5:$B$15,0),1)</f>
        <v>4</v>
      </c>
      <c r="F71" s="3" t="s">
        <v>107</v>
      </c>
      <c r="G71" s="3" t="s">
        <v>440</v>
      </c>
      <c r="H71" s="3" t="s">
        <v>439</v>
      </c>
      <c r="I71" s="7" t="s">
        <v>168</v>
      </c>
      <c r="J71" s="3"/>
      <c r="K71" s="3"/>
    </row>
    <row r="72" spans="1:11" ht="30.7" hidden="1" x14ac:dyDescent="0.3">
      <c r="A72" s="5" t="s">
        <v>441</v>
      </c>
      <c r="B72" s="3" t="s">
        <v>442</v>
      </c>
      <c r="C72" s="3" t="s">
        <v>443</v>
      </c>
      <c r="D72" s="3" t="s">
        <v>146</v>
      </c>
      <c r="E72" s="3" t="str">
        <f>INDEX(LEGENDA!$A$5:$B$15,MATCH(D72,LEGENDA!$B$5:$B$15,0),1)</f>
        <v>1</v>
      </c>
      <c r="F72" s="3" t="s">
        <v>107</v>
      </c>
      <c r="G72" s="3" t="s">
        <v>445</v>
      </c>
      <c r="H72" s="3" t="s">
        <v>444</v>
      </c>
      <c r="I72" s="6" t="s">
        <v>148</v>
      </c>
      <c r="J72" s="3"/>
      <c r="K72" s="3"/>
    </row>
    <row r="73" spans="1:11" hidden="1" x14ac:dyDescent="0.3">
      <c r="A73" s="3" t="s">
        <v>441</v>
      </c>
      <c r="B73" s="3" t="s">
        <v>446</v>
      </c>
      <c r="C73" s="3" t="s">
        <v>447</v>
      </c>
      <c r="D73" s="3" t="s">
        <v>191</v>
      </c>
      <c r="E73" s="3" t="str">
        <f>INDEX(LEGENDA!$A$5:$B$15,MATCH(D73,LEGENDA!$B$5:$B$15,0),1)</f>
        <v>3</v>
      </c>
      <c r="F73" s="3" t="s">
        <v>107</v>
      </c>
      <c r="G73" s="3" t="s">
        <v>449</v>
      </c>
      <c r="H73" s="3" t="s">
        <v>448</v>
      </c>
      <c r="I73" s="6" t="s">
        <v>148</v>
      </c>
      <c r="J73" s="3"/>
      <c r="K73" s="3"/>
    </row>
    <row r="74" spans="1:11" hidden="1" x14ac:dyDescent="0.3">
      <c r="A74" s="3" t="s">
        <v>441</v>
      </c>
      <c r="B74" s="3" t="s">
        <v>450</v>
      </c>
      <c r="C74" s="3" t="s">
        <v>451</v>
      </c>
      <c r="D74" s="3" t="s">
        <v>191</v>
      </c>
      <c r="E74" s="3" t="str">
        <f>INDEX(LEGENDA!$A$5:$B$15,MATCH(D74,LEGENDA!$B$5:$B$15,0),1)</f>
        <v>3</v>
      </c>
      <c r="F74" s="3" t="s">
        <v>107</v>
      </c>
      <c r="G74" s="3" t="s">
        <v>453</v>
      </c>
      <c r="H74" s="3" t="s">
        <v>452</v>
      </c>
      <c r="I74" s="6" t="s">
        <v>148</v>
      </c>
      <c r="J74" s="3"/>
      <c r="K74" s="3"/>
    </row>
    <row r="75" spans="1:11" hidden="1" x14ac:dyDescent="0.3">
      <c r="A75" s="3" t="s">
        <v>441</v>
      </c>
      <c r="B75" s="3" t="s">
        <v>454</v>
      </c>
      <c r="C75" s="3" t="s">
        <v>455</v>
      </c>
      <c r="D75" s="3" t="s">
        <v>191</v>
      </c>
      <c r="E75" s="3" t="str">
        <f>INDEX(LEGENDA!$A$5:$B$15,MATCH(D75,LEGENDA!$B$5:$B$15,0),1)</f>
        <v>3</v>
      </c>
      <c r="F75" s="3" t="s">
        <v>107</v>
      </c>
      <c r="G75" s="3" t="s">
        <v>457</v>
      </c>
      <c r="H75" s="3" t="s">
        <v>456</v>
      </c>
      <c r="I75" s="7" t="s">
        <v>168</v>
      </c>
      <c r="J75" s="3"/>
      <c r="K75" s="3"/>
    </row>
    <row r="76" spans="1:11" hidden="1" x14ac:dyDescent="0.3">
      <c r="A76" s="3" t="s">
        <v>441</v>
      </c>
      <c r="B76" s="3" t="s">
        <v>458</v>
      </c>
      <c r="C76" s="3" t="s">
        <v>459</v>
      </c>
      <c r="D76" s="3" t="s">
        <v>166</v>
      </c>
      <c r="E76" s="3" t="str">
        <f>INDEX(LEGENDA!$A$5:$B$15,MATCH(D76,LEGENDA!$B$5:$B$15,0),1)</f>
        <v>9</v>
      </c>
      <c r="F76" s="3" t="s">
        <v>269</v>
      </c>
      <c r="G76" s="3" t="s">
        <v>461</v>
      </c>
      <c r="H76" s="3" t="s">
        <v>460</v>
      </c>
      <c r="I76" s="7" t="s">
        <v>168</v>
      </c>
      <c r="J76" s="3"/>
      <c r="K76" s="3"/>
    </row>
    <row r="77" spans="1:11" ht="30.7" hidden="1" x14ac:dyDescent="0.3">
      <c r="A77" s="5" t="s">
        <v>462</v>
      </c>
      <c r="B77" s="3" t="s">
        <v>463</v>
      </c>
      <c r="C77" s="3" t="s">
        <v>464</v>
      </c>
      <c r="D77" s="3" t="s">
        <v>146</v>
      </c>
      <c r="E77" s="3" t="str">
        <f>INDEX(LEGENDA!$A$5:$B$15,MATCH(D77,LEGENDA!$B$5:$B$15,0),1)</f>
        <v>1</v>
      </c>
      <c r="F77" s="3" t="s">
        <v>111</v>
      </c>
      <c r="G77" s="3" t="s">
        <v>466</v>
      </c>
      <c r="H77" s="3" t="s">
        <v>465</v>
      </c>
      <c r="I77" s="6" t="s">
        <v>148</v>
      </c>
      <c r="J77" s="3"/>
      <c r="K77" s="3"/>
    </row>
    <row r="78" spans="1:11" ht="30.7" hidden="1" x14ac:dyDescent="0.3">
      <c r="A78" s="3" t="s">
        <v>462</v>
      </c>
      <c r="B78" s="3" t="s">
        <v>467</v>
      </c>
      <c r="C78" s="3" t="s">
        <v>468</v>
      </c>
      <c r="D78" s="3" t="s">
        <v>177</v>
      </c>
      <c r="E78" s="3" t="str">
        <f>INDEX(LEGENDA!$A$5:$B$15,MATCH(D78,LEGENDA!$B$5:$B$15,0),1)</f>
        <v>2</v>
      </c>
      <c r="F78" s="3" t="s">
        <v>111</v>
      </c>
      <c r="G78" s="3" t="s">
        <v>470</v>
      </c>
      <c r="H78" s="3" t="s">
        <v>469</v>
      </c>
      <c r="I78" s="6" t="s">
        <v>148</v>
      </c>
      <c r="J78" s="3"/>
      <c r="K78" s="3"/>
    </row>
    <row r="79" spans="1:11" hidden="1" x14ac:dyDescent="0.3">
      <c r="A79" s="3" t="s">
        <v>462</v>
      </c>
      <c r="B79" s="3" t="s">
        <v>471</v>
      </c>
      <c r="C79" s="3" t="s">
        <v>472</v>
      </c>
      <c r="D79" s="3" t="s">
        <v>191</v>
      </c>
      <c r="E79" s="3" t="str">
        <f>INDEX(LEGENDA!$A$5:$B$15,MATCH(D79,LEGENDA!$B$5:$B$15,0),1)</f>
        <v>3</v>
      </c>
      <c r="F79" s="3" t="s">
        <v>111</v>
      </c>
      <c r="G79" s="3" t="s">
        <v>474</v>
      </c>
      <c r="H79" s="3" t="s">
        <v>473</v>
      </c>
      <c r="I79" s="6" t="s">
        <v>148</v>
      </c>
      <c r="J79" s="3"/>
      <c r="K79" s="3"/>
    </row>
    <row r="80" spans="1:11" hidden="1" x14ac:dyDescent="0.3">
      <c r="A80" s="3" t="s">
        <v>462</v>
      </c>
      <c r="B80" s="3" t="s">
        <v>475</v>
      </c>
      <c r="C80" s="3" t="s">
        <v>476</v>
      </c>
      <c r="D80" s="3" t="s">
        <v>191</v>
      </c>
      <c r="E80" s="3" t="str">
        <f>INDEX(LEGENDA!$A$5:$B$15,MATCH(D80,LEGENDA!$B$5:$B$15,0),1)</f>
        <v>3</v>
      </c>
      <c r="F80" s="3" t="s">
        <v>111</v>
      </c>
      <c r="G80" s="3" t="s">
        <v>478</v>
      </c>
      <c r="H80" s="3" t="s">
        <v>477</v>
      </c>
      <c r="I80" s="6" t="s">
        <v>148</v>
      </c>
      <c r="J80" s="3"/>
      <c r="K80" s="3"/>
    </row>
    <row r="81" spans="1:11" hidden="1" x14ac:dyDescent="0.3">
      <c r="A81" s="3" t="s">
        <v>462</v>
      </c>
      <c r="B81" s="3" t="s">
        <v>479</v>
      </c>
      <c r="C81" s="3" t="s">
        <v>480</v>
      </c>
      <c r="D81" s="3" t="s">
        <v>191</v>
      </c>
      <c r="E81" s="3" t="str">
        <f>INDEX(LEGENDA!$A$5:$B$15,MATCH(D81,LEGENDA!$B$5:$B$15,0),1)</f>
        <v>3</v>
      </c>
      <c r="F81" s="3" t="s">
        <v>111</v>
      </c>
      <c r="G81" s="3" t="s">
        <v>482</v>
      </c>
      <c r="H81" s="3" t="s">
        <v>481</v>
      </c>
      <c r="I81" s="7" t="s">
        <v>168</v>
      </c>
      <c r="J81" s="3"/>
      <c r="K81" s="3"/>
    </row>
    <row r="82" spans="1:11" ht="30.7" hidden="1" x14ac:dyDescent="0.3">
      <c r="A82" s="3" t="s">
        <v>462</v>
      </c>
      <c r="B82" s="3" t="s">
        <v>483</v>
      </c>
      <c r="C82" s="3" t="s">
        <v>484</v>
      </c>
      <c r="D82" s="3" t="s">
        <v>191</v>
      </c>
      <c r="E82" s="3" t="str">
        <f>INDEX(LEGENDA!$A$5:$B$15,MATCH(D82,LEGENDA!$B$5:$B$15,0),1)</f>
        <v>3</v>
      </c>
      <c r="F82" s="3" t="s">
        <v>111</v>
      </c>
      <c r="G82" s="3" t="s">
        <v>486</v>
      </c>
      <c r="H82" s="3" t="s">
        <v>485</v>
      </c>
      <c r="I82" s="6" t="s">
        <v>148</v>
      </c>
      <c r="J82" s="3"/>
      <c r="K82" s="3"/>
    </row>
    <row r="83" spans="1:11" hidden="1" x14ac:dyDescent="0.3">
      <c r="A83" s="3" t="s">
        <v>462</v>
      </c>
      <c r="B83" s="3" t="s">
        <v>487</v>
      </c>
      <c r="C83" s="3" t="s">
        <v>488</v>
      </c>
      <c r="D83" s="3" t="s">
        <v>274</v>
      </c>
      <c r="E83" s="3" t="str">
        <f>INDEX(LEGENDA!$A$5:$B$15,MATCH(D83,LEGENDA!$B$5:$B$15,0),1)</f>
        <v>4</v>
      </c>
      <c r="F83" s="3" t="s">
        <v>111</v>
      </c>
      <c r="G83" s="3" t="s">
        <v>490</v>
      </c>
      <c r="H83" s="3" t="s">
        <v>489</v>
      </c>
      <c r="I83" s="7" t="s">
        <v>168</v>
      </c>
      <c r="J83" s="3"/>
      <c r="K83" s="3"/>
    </row>
    <row r="84" spans="1:11" hidden="1" x14ac:dyDescent="0.3">
      <c r="A84" s="3" t="s">
        <v>462</v>
      </c>
      <c r="B84" s="3" t="s">
        <v>491</v>
      </c>
      <c r="C84" s="3" t="s">
        <v>492</v>
      </c>
      <c r="D84" s="3" t="s">
        <v>493</v>
      </c>
      <c r="E84" s="3" t="e">
        <f>INDEX(LEGENDA!$A$5:$B$15,MATCH(D84,LEGENDA!$B$5:$B$15,0),1)</f>
        <v>#N/A</v>
      </c>
      <c r="F84" s="3" t="s">
        <v>111</v>
      </c>
      <c r="G84" s="3" t="s">
        <v>495</v>
      </c>
      <c r="H84" s="3" t="s">
        <v>494</v>
      </c>
      <c r="I84" s="6" t="s">
        <v>148</v>
      </c>
      <c r="J84" s="3"/>
      <c r="K84" s="3"/>
    </row>
    <row r="85" spans="1:11" ht="30.7" hidden="1" x14ac:dyDescent="0.3">
      <c r="A85" s="5" t="s">
        <v>496</v>
      </c>
      <c r="B85" s="3" t="s">
        <v>497</v>
      </c>
      <c r="C85" s="3" t="s">
        <v>498</v>
      </c>
      <c r="D85" s="3" t="s">
        <v>146</v>
      </c>
      <c r="E85" s="3" t="str">
        <f>INDEX(LEGENDA!$A$5:$B$15,MATCH(D85,LEGENDA!$B$5:$B$15,0),1)</f>
        <v>1</v>
      </c>
      <c r="F85" s="3" t="s">
        <v>115</v>
      </c>
      <c r="G85" s="3" t="s">
        <v>500</v>
      </c>
      <c r="H85" s="3" t="s">
        <v>499</v>
      </c>
      <c r="I85" s="6" t="s">
        <v>148</v>
      </c>
      <c r="J85" s="3"/>
      <c r="K85" s="3"/>
    </row>
    <row r="86" spans="1:11" ht="30.7" hidden="1" x14ac:dyDescent="0.3">
      <c r="A86" s="3" t="s">
        <v>496</v>
      </c>
      <c r="B86" s="3" t="s">
        <v>501</v>
      </c>
      <c r="C86" s="3" t="s">
        <v>502</v>
      </c>
      <c r="D86" s="3" t="s">
        <v>177</v>
      </c>
      <c r="E86" s="3" t="str">
        <f>INDEX(LEGENDA!$A$5:$B$15,MATCH(D86,LEGENDA!$B$5:$B$15,0),1)</f>
        <v>2</v>
      </c>
      <c r="F86" s="3" t="s">
        <v>115</v>
      </c>
      <c r="G86" s="3" t="s">
        <v>504</v>
      </c>
      <c r="H86" s="3" t="s">
        <v>503</v>
      </c>
      <c r="I86" s="6" t="s">
        <v>148</v>
      </c>
      <c r="J86" s="3"/>
      <c r="K86" s="3"/>
    </row>
    <row r="87" spans="1:11" hidden="1" x14ac:dyDescent="0.3">
      <c r="A87" s="3" t="s">
        <v>496</v>
      </c>
      <c r="B87" s="3" t="s">
        <v>505</v>
      </c>
      <c r="C87" s="3" t="s">
        <v>506</v>
      </c>
      <c r="D87" s="3" t="s">
        <v>191</v>
      </c>
      <c r="E87" s="3" t="str">
        <f>INDEX(LEGENDA!$A$5:$B$15,MATCH(D87,LEGENDA!$B$5:$B$15,0),1)</f>
        <v>3</v>
      </c>
      <c r="F87" s="3" t="s">
        <v>115</v>
      </c>
      <c r="G87" s="3" t="s">
        <v>508</v>
      </c>
      <c r="H87" s="3" t="s">
        <v>507</v>
      </c>
      <c r="I87" s="6" t="s">
        <v>148</v>
      </c>
      <c r="J87" s="3"/>
      <c r="K87" s="3"/>
    </row>
    <row r="88" spans="1:11" hidden="1" x14ac:dyDescent="0.3">
      <c r="A88" s="3" t="s">
        <v>496</v>
      </c>
      <c r="B88" s="3" t="s">
        <v>509</v>
      </c>
      <c r="C88" s="3" t="s">
        <v>510</v>
      </c>
      <c r="D88" s="3" t="s">
        <v>191</v>
      </c>
      <c r="E88" s="3" t="str">
        <f>INDEX(LEGENDA!$A$5:$B$15,MATCH(D88,LEGENDA!$B$5:$B$15,0),1)</f>
        <v>3</v>
      </c>
      <c r="F88" s="3" t="s">
        <v>115</v>
      </c>
      <c r="G88" s="3" t="s">
        <v>512</v>
      </c>
      <c r="H88" s="3" t="s">
        <v>511</v>
      </c>
      <c r="I88" s="6" t="s">
        <v>148</v>
      </c>
      <c r="J88" s="3"/>
      <c r="K88" s="3"/>
    </row>
    <row r="89" spans="1:11" hidden="1" x14ac:dyDescent="0.3">
      <c r="A89" s="3" t="s">
        <v>496</v>
      </c>
      <c r="B89" s="3" t="s">
        <v>513</v>
      </c>
      <c r="C89" s="3" t="s">
        <v>514</v>
      </c>
      <c r="D89" s="3" t="s">
        <v>191</v>
      </c>
      <c r="E89" s="3" t="str">
        <f>INDEX(LEGENDA!$A$5:$B$15,MATCH(D89,LEGENDA!$B$5:$B$15,0),1)</f>
        <v>3</v>
      </c>
      <c r="F89" s="3" t="s">
        <v>115</v>
      </c>
      <c r="G89" s="3" t="s">
        <v>516</v>
      </c>
      <c r="H89" s="3" t="s">
        <v>515</v>
      </c>
      <c r="I89" s="6" t="s">
        <v>148</v>
      </c>
      <c r="J89" s="3"/>
      <c r="K89" s="3"/>
    </row>
    <row r="90" spans="1:11" hidden="1" x14ac:dyDescent="0.3">
      <c r="A90" s="3" t="s">
        <v>496</v>
      </c>
      <c r="B90" s="3" t="s">
        <v>517</v>
      </c>
      <c r="C90" s="3" t="s">
        <v>518</v>
      </c>
      <c r="D90" s="3" t="s">
        <v>191</v>
      </c>
      <c r="E90" s="3" t="str">
        <f>INDEX(LEGENDA!$A$5:$B$15,MATCH(D90,LEGENDA!$B$5:$B$15,0),1)</f>
        <v>3</v>
      </c>
      <c r="F90" s="3" t="s">
        <v>115</v>
      </c>
      <c r="G90" s="3" t="s">
        <v>520</v>
      </c>
      <c r="H90" s="3" t="s">
        <v>519</v>
      </c>
      <c r="I90" s="6" t="s">
        <v>148</v>
      </c>
      <c r="J90" s="3"/>
      <c r="K90" s="3"/>
    </row>
    <row r="91" spans="1:11" hidden="1" x14ac:dyDescent="0.3">
      <c r="A91" s="3" t="s">
        <v>496</v>
      </c>
      <c r="B91" s="3" t="s">
        <v>521</v>
      </c>
      <c r="C91" s="3" t="s">
        <v>522</v>
      </c>
      <c r="D91" s="3" t="s">
        <v>191</v>
      </c>
      <c r="E91" s="3" t="str">
        <f>INDEX(LEGENDA!$A$5:$B$15,MATCH(D91,LEGENDA!$B$5:$B$15,0),1)</f>
        <v>3</v>
      </c>
      <c r="F91" s="3" t="s">
        <v>115</v>
      </c>
      <c r="G91" s="3" t="s">
        <v>524</v>
      </c>
      <c r="H91" s="3" t="s">
        <v>523</v>
      </c>
      <c r="I91" s="6" t="s">
        <v>148</v>
      </c>
      <c r="J91" s="3"/>
      <c r="K91" s="3"/>
    </row>
    <row r="92" spans="1:11" ht="30.7" hidden="1" x14ac:dyDescent="0.3">
      <c r="A92" s="3" t="s">
        <v>496</v>
      </c>
      <c r="B92" s="3" t="s">
        <v>525</v>
      </c>
      <c r="C92" s="3" t="s">
        <v>526</v>
      </c>
      <c r="D92" s="3" t="s">
        <v>166</v>
      </c>
      <c r="E92" s="3" t="str">
        <f>INDEX(LEGENDA!$A$5:$B$15,MATCH(D92,LEGENDA!$B$5:$B$15,0),1)</f>
        <v>9</v>
      </c>
      <c r="F92" s="3" t="s">
        <v>115</v>
      </c>
      <c r="G92" s="3" t="s">
        <v>528</v>
      </c>
      <c r="H92" s="3" t="s">
        <v>527</v>
      </c>
      <c r="I92" s="6" t="s">
        <v>148</v>
      </c>
      <c r="J92" s="3"/>
      <c r="K92" s="3"/>
    </row>
    <row r="93" spans="1:11" hidden="1" x14ac:dyDescent="0.3">
      <c r="A93" s="3" t="s">
        <v>496</v>
      </c>
      <c r="B93" s="3" t="s">
        <v>529</v>
      </c>
      <c r="C93" s="3" t="s">
        <v>530</v>
      </c>
      <c r="D93" s="3" t="s">
        <v>531</v>
      </c>
      <c r="E93" s="3" t="str">
        <f>INDEX(LEGENDA!$A$5:$B$15,MATCH(D93,LEGENDA!$B$5:$B$15,0),1)</f>
        <v>7</v>
      </c>
      <c r="F93" s="3" t="s">
        <v>115</v>
      </c>
      <c r="G93" s="3" t="s">
        <v>533</v>
      </c>
      <c r="H93" s="3" t="s">
        <v>532</v>
      </c>
      <c r="I93" s="6" t="s">
        <v>148</v>
      </c>
      <c r="J93" s="3"/>
      <c r="K93" s="3"/>
    </row>
    <row r="94" spans="1:11" hidden="1" x14ac:dyDescent="0.3">
      <c r="A94" s="3" t="s">
        <v>496</v>
      </c>
      <c r="B94" s="3" t="s">
        <v>534</v>
      </c>
      <c r="C94" s="3" t="s">
        <v>535</v>
      </c>
      <c r="D94" s="3" t="s">
        <v>531</v>
      </c>
      <c r="E94" s="3" t="str">
        <f>INDEX(LEGENDA!$A$5:$B$15,MATCH(D94,LEGENDA!$B$5:$B$15,0),1)</f>
        <v>7</v>
      </c>
      <c r="F94" s="3" t="s">
        <v>115</v>
      </c>
      <c r="G94" s="3" t="s">
        <v>537</v>
      </c>
      <c r="H94" s="3" t="s">
        <v>536</v>
      </c>
      <c r="I94" s="6" t="s">
        <v>148</v>
      </c>
      <c r="J94" s="3"/>
      <c r="K94" s="3"/>
    </row>
    <row r="95" spans="1:11" hidden="1" x14ac:dyDescent="0.3">
      <c r="A95" s="3" t="s">
        <v>496</v>
      </c>
      <c r="B95" s="3" t="s">
        <v>538</v>
      </c>
      <c r="C95" s="3" t="s">
        <v>539</v>
      </c>
      <c r="D95" s="3" t="s">
        <v>531</v>
      </c>
      <c r="E95" s="3" t="str">
        <f>INDEX(LEGENDA!$A$5:$B$15,MATCH(D95,LEGENDA!$B$5:$B$15,0),1)</f>
        <v>7</v>
      </c>
      <c r="F95" s="3" t="s">
        <v>115</v>
      </c>
      <c r="G95" s="3" t="s">
        <v>541</v>
      </c>
      <c r="H95" s="3" t="s">
        <v>540</v>
      </c>
      <c r="I95" s="6" t="s">
        <v>148</v>
      </c>
      <c r="J95" s="3"/>
      <c r="K95" s="3"/>
    </row>
    <row r="96" spans="1:11" hidden="1" x14ac:dyDescent="0.3">
      <c r="A96" s="3" t="s">
        <v>496</v>
      </c>
      <c r="B96" s="3" t="s">
        <v>542</v>
      </c>
      <c r="C96" s="3" t="s">
        <v>543</v>
      </c>
      <c r="D96" s="3" t="s">
        <v>531</v>
      </c>
      <c r="E96" s="3" t="str">
        <f>INDEX(LEGENDA!$A$5:$B$15,MATCH(D96,LEGENDA!$B$5:$B$15,0),1)</f>
        <v>7</v>
      </c>
      <c r="F96" s="3" t="s">
        <v>115</v>
      </c>
      <c r="G96" s="3" t="s">
        <v>545</v>
      </c>
      <c r="H96" s="3" t="s">
        <v>544</v>
      </c>
      <c r="I96" s="6" t="s">
        <v>148</v>
      </c>
      <c r="J96" s="3"/>
      <c r="K96" s="3"/>
    </row>
    <row r="97" spans="1:11" hidden="1" x14ac:dyDescent="0.3">
      <c r="A97" s="3" t="s">
        <v>496</v>
      </c>
      <c r="B97" s="3" t="s">
        <v>546</v>
      </c>
      <c r="C97" s="3" t="s">
        <v>547</v>
      </c>
      <c r="D97" s="3" t="s">
        <v>531</v>
      </c>
      <c r="E97" s="3" t="str">
        <f>INDEX(LEGENDA!$A$5:$B$15,MATCH(D97,LEGENDA!$B$5:$B$15,0),1)</f>
        <v>7</v>
      </c>
      <c r="F97" s="3" t="s">
        <v>115</v>
      </c>
      <c r="G97" s="3" t="s">
        <v>549</v>
      </c>
      <c r="H97" s="3" t="s">
        <v>548</v>
      </c>
      <c r="I97" s="6" t="s">
        <v>148</v>
      </c>
      <c r="J97" s="3"/>
      <c r="K97" s="3"/>
    </row>
    <row r="98" spans="1:11" ht="30.7" hidden="1" x14ac:dyDescent="0.3">
      <c r="A98" s="5" t="s">
        <v>550</v>
      </c>
      <c r="B98" s="3" t="s">
        <v>551</v>
      </c>
      <c r="C98" s="3" t="s">
        <v>552</v>
      </c>
      <c r="D98" s="3" t="s">
        <v>146</v>
      </c>
      <c r="E98" s="3" t="str">
        <f>INDEX(LEGENDA!$A$5:$B$15,MATCH(D98,LEGENDA!$B$5:$B$15,0),1)</f>
        <v>1</v>
      </c>
      <c r="F98" s="3" t="s">
        <v>119</v>
      </c>
      <c r="G98" s="3" t="s">
        <v>554</v>
      </c>
      <c r="H98" s="3" t="s">
        <v>553</v>
      </c>
      <c r="I98" s="6" t="s">
        <v>148</v>
      </c>
      <c r="J98" s="3"/>
      <c r="K98" s="3"/>
    </row>
    <row r="99" spans="1:11" ht="30.7" hidden="1" x14ac:dyDescent="0.3">
      <c r="A99" s="3" t="s">
        <v>550</v>
      </c>
      <c r="B99" s="3" t="s">
        <v>555</v>
      </c>
      <c r="C99" s="3" t="s">
        <v>556</v>
      </c>
      <c r="D99" s="3" t="s">
        <v>177</v>
      </c>
      <c r="E99" s="3" t="str">
        <f>INDEX(LEGENDA!$A$5:$B$15,MATCH(D99,LEGENDA!$B$5:$B$15,0),1)</f>
        <v>2</v>
      </c>
      <c r="F99" s="3" t="s">
        <v>119</v>
      </c>
      <c r="G99" s="3" t="s">
        <v>558</v>
      </c>
      <c r="H99" s="3" t="s">
        <v>557</v>
      </c>
      <c r="I99" s="6" t="s">
        <v>148</v>
      </c>
      <c r="J99" s="3"/>
      <c r="K99" s="3"/>
    </row>
    <row r="100" spans="1:11" hidden="1" x14ac:dyDescent="0.3">
      <c r="A100" s="3" t="s">
        <v>550</v>
      </c>
      <c r="B100" s="3" t="s">
        <v>559</v>
      </c>
      <c r="C100" s="3" t="s">
        <v>560</v>
      </c>
      <c r="D100" s="3" t="s">
        <v>161</v>
      </c>
      <c r="E100" s="3" t="e">
        <f>INDEX(LEGENDA!$A$5:$B$15,MATCH(D100,LEGENDA!$B$5:$B$15,0),1)</f>
        <v>#N/A</v>
      </c>
      <c r="F100" s="3" t="s">
        <v>561</v>
      </c>
      <c r="G100" s="3" t="s">
        <v>563</v>
      </c>
      <c r="H100" s="3" t="s">
        <v>562</v>
      </c>
      <c r="I100" s="6" t="s">
        <v>148</v>
      </c>
      <c r="J100" s="3"/>
      <c r="K100" s="3"/>
    </row>
    <row r="101" spans="1:11" ht="30.7" hidden="1" x14ac:dyDescent="0.3">
      <c r="A101" s="3" t="s">
        <v>550</v>
      </c>
      <c r="B101" s="3" t="s">
        <v>564</v>
      </c>
      <c r="C101" s="3" t="s">
        <v>565</v>
      </c>
      <c r="D101" s="3" t="s">
        <v>172</v>
      </c>
      <c r="E101" s="3" t="str">
        <f>INDEX(LEGENDA!$A$5:$B$15,MATCH(D101,LEGENDA!$B$5:$B$15,0),1)</f>
        <v>8</v>
      </c>
      <c r="F101" s="3" t="s">
        <v>119</v>
      </c>
      <c r="G101" s="3" t="s">
        <v>567</v>
      </c>
      <c r="H101" s="3" t="s">
        <v>566</v>
      </c>
      <c r="I101" s="6" t="s">
        <v>148</v>
      </c>
      <c r="J101" s="3"/>
      <c r="K101" s="3"/>
    </row>
    <row r="102" spans="1:11" ht="30.7" hidden="1" x14ac:dyDescent="0.3">
      <c r="A102" s="3" t="s">
        <v>550</v>
      </c>
      <c r="B102" s="3" t="s">
        <v>568</v>
      </c>
      <c r="C102" s="3" t="s">
        <v>569</v>
      </c>
      <c r="D102" s="3" t="s">
        <v>172</v>
      </c>
      <c r="E102" s="3" t="str">
        <f>INDEX(LEGENDA!$A$5:$B$15,MATCH(D102,LEGENDA!$B$5:$B$15,0),1)</f>
        <v>8</v>
      </c>
      <c r="F102" s="3" t="s">
        <v>119</v>
      </c>
      <c r="G102" s="3" t="s">
        <v>571</v>
      </c>
      <c r="H102" s="3" t="s">
        <v>570</v>
      </c>
      <c r="I102" s="6" t="s">
        <v>148</v>
      </c>
      <c r="J102" s="3"/>
      <c r="K102" s="3"/>
    </row>
    <row r="103" spans="1:11" hidden="1" x14ac:dyDescent="0.3">
      <c r="A103" s="3" t="s">
        <v>550</v>
      </c>
      <c r="B103" s="3" t="s">
        <v>572</v>
      </c>
      <c r="C103" s="3" t="s">
        <v>573</v>
      </c>
      <c r="D103" s="3" t="s">
        <v>172</v>
      </c>
      <c r="E103" s="3" t="str">
        <f>INDEX(LEGENDA!$A$5:$B$15,MATCH(D103,LEGENDA!$B$5:$B$15,0),1)</f>
        <v>8</v>
      </c>
      <c r="F103" s="3" t="s">
        <v>574</v>
      </c>
      <c r="G103" s="3" t="s">
        <v>576</v>
      </c>
      <c r="H103" s="3" t="s">
        <v>575</v>
      </c>
      <c r="I103" s="6" t="s">
        <v>148</v>
      </c>
      <c r="J103" s="3"/>
      <c r="K103" s="3"/>
    </row>
    <row r="104" spans="1:11" hidden="1" x14ac:dyDescent="0.3">
      <c r="A104" s="3" t="s">
        <v>550</v>
      </c>
      <c r="B104" s="3" t="s">
        <v>577</v>
      </c>
      <c r="C104" s="3" t="s">
        <v>578</v>
      </c>
      <c r="D104" s="3" t="s">
        <v>191</v>
      </c>
      <c r="E104" s="3" t="str">
        <f>INDEX(LEGENDA!$A$5:$B$15,MATCH(D104,LEGENDA!$B$5:$B$15,0),1)</f>
        <v>3</v>
      </c>
      <c r="F104" s="3" t="s">
        <v>119</v>
      </c>
      <c r="G104" s="3" t="s">
        <v>580</v>
      </c>
      <c r="H104" s="3" t="s">
        <v>579</v>
      </c>
      <c r="I104" s="6" t="s">
        <v>148</v>
      </c>
      <c r="J104" s="3"/>
      <c r="K104" s="3"/>
    </row>
    <row r="105" spans="1:11" hidden="1" x14ac:dyDescent="0.3">
      <c r="A105" s="3" t="s">
        <v>550</v>
      </c>
      <c r="B105" s="3" t="s">
        <v>581</v>
      </c>
      <c r="C105" s="3" t="s">
        <v>582</v>
      </c>
      <c r="D105" s="3" t="s">
        <v>191</v>
      </c>
      <c r="E105" s="3" t="str">
        <f>INDEX(LEGENDA!$A$5:$B$15,MATCH(D105,LEGENDA!$B$5:$B$15,0),1)</f>
        <v>3</v>
      </c>
      <c r="F105" s="3" t="s">
        <v>119</v>
      </c>
      <c r="G105" s="3" t="s">
        <v>584</v>
      </c>
      <c r="H105" s="3" t="s">
        <v>583</v>
      </c>
      <c r="I105" s="6" t="s">
        <v>148</v>
      </c>
      <c r="J105" s="3"/>
      <c r="K105" s="3"/>
    </row>
    <row r="106" spans="1:11" hidden="1" x14ac:dyDescent="0.3">
      <c r="A106" s="3" t="s">
        <v>550</v>
      </c>
      <c r="B106" s="3" t="s">
        <v>585</v>
      </c>
      <c r="C106" s="3" t="s">
        <v>586</v>
      </c>
      <c r="D106" s="3" t="s">
        <v>191</v>
      </c>
      <c r="E106" s="3" t="str">
        <f>INDEX(LEGENDA!$A$5:$B$15,MATCH(D106,LEGENDA!$B$5:$B$15,0),1)</f>
        <v>3</v>
      </c>
      <c r="F106" s="3" t="s">
        <v>574</v>
      </c>
      <c r="G106" s="3" t="s">
        <v>588</v>
      </c>
      <c r="H106" s="3" t="s">
        <v>587</v>
      </c>
      <c r="I106" s="6" t="s">
        <v>148</v>
      </c>
      <c r="J106" s="3"/>
      <c r="K106" s="3"/>
    </row>
    <row r="107" spans="1:11" hidden="1" x14ac:dyDescent="0.3">
      <c r="A107" s="5" t="s">
        <v>589</v>
      </c>
      <c r="B107" s="3" t="s">
        <v>590</v>
      </c>
      <c r="C107" s="3" t="s">
        <v>591</v>
      </c>
      <c r="D107" s="3" t="s">
        <v>177</v>
      </c>
      <c r="E107" s="3" t="str">
        <f>INDEX(LEGENDA!$A$5:$B$15,MATCH(D107,LEGENDA!$B$5:$B$15,0),1)</f>
        <v>2</v>
      </c>
      <c r="F107" s="3" t="s">
        <v>592</v>
      </c>
      <c r="G107" s="3" t="s">
        <v>594</v>
      </c>
      <c r="H107" s="3" t="s">
        <v>593</v>
      </c>
      <c r="I107" s="7" t="s">
        <v>168</v>
      </c>
      <c r="J107" s="3"/>
      <c r="K107" s="3"/>
    </row>
    <row r="108" spans="1:11" hidden="1" x14ac:dyDescent="0.3">
      <c r="A108" s="3" t="s">
        <v>589</v>
      </c>
      <c r="B108" s="3" t="s">
        <v>595</v>
      </c>
      <c r="C108" s="3" t="s">
        <v>596</v>
      </c>
      <c r="D108" s="3" t="s">
        <v>191</v>
      </c>
      <c r="E108" s="3" t="str">
        <f>INDEX(LEGENDA!$A$5:$B$15,MATCH(D108,LEGENDA!$B$5:$B$15,0),1)</f>
        <v>3</v>
      </c>
      <c r="F108" s="3" t="s">
        <v>111</v>
      </c>
      <c r="G108" s="3" t="s">
        <v>598</v>
      </c>
      <c r="H108" s="3" t="s">
        <v>597</v>
      </c>
      <c r="I108" s="7" t="s">
        <v>168</v>
      </c>
      <c r="J108" s="3"/>
      <c r="K108" s="3"/>
    </row>
    <row r="109" spans="1:11" hidden="1" x14ac:dyDescent="0.3">
      <c r="A109" s="3" t="s">
        <v>589</v>
      </c>
      <c r="B109" s="3" t="s">
        <v>599</v>
      </c>
      <c r="C109" s="3" t="s">
        <v>600</v>
      </c>
      <c r="D109" s="3" t="s">
        <v>191</v>
      </c>
      <c r="E109" s="3" t="str">
        <f>INDEX(LEGENDA!$A$5:$B$15,MATCH(D109,LEGENDA!$B$5:$B$15,0),1)</f>
        <v>3</v>
      </c>
      <c r="F109" s="3" t="s">
        <v>592</v>
      </c>
      <c r="G109" s="3" t="s">
        <v>602</v>
      </c>
      <c r="H109" s="3" t="s">
        <v>601</v>
      </c>
      <c r="I109" s="7" t="s">
        <v>168</v>
      </c>
      <c r="J109" s="3"/>
      <c r="K109" s="3"/>
    </row>
    <row r="110" spans="1:11" hidden="1" x14ac:dyDescent="0.3">
      <c r="A110" s="3" t="s">
        <v>589</v>
      </c>
      <c r="B110" s="3" t="s">
        <v>603</v>
      </c>
      <c r="C110" s="3" t="s">
        <v>604</v>
      </c>
      <c r="D110" s="3" t="s">
        <v>166</v>
      </c>
      <c r="E110" s="3" t="str">
        <f>INDEX(LEGENDA!$A$5:$B$15,MATCH(D110,LEGENDA!$B$5:$B$15,0),1)</f>
        <v>9</v>
      </c>
      <c r="F110" s="3" t="s">
        <v>103</v>
      </c>
      <c r="G110" s="3" t="s">
        <v>606</v>
      </c>
      <c r="H110" s="3" t="s">
        <v>605</v>
      </c>
      <c r="I110" s="7" t="s">
        <v>168</v>
      </c>
      <c r="J110" s="3"/>
      <c r="K110" s="3"/>
    </row>
    <row r="111" spans="1:11" hidden="1" x14ac:dyDescent="0.3">
      <c r="A111" s="5" t="s">
        <v>607</v>
      </c>
      <c r="B111" s="3" t="s">
        <v>608</v>
      </c>
      <c r="C111" s="3" t="s">
        <v>609</v>
      </c>
      <c r="D111" s="3" t="s">
        <v>146</v>
      </c>
      <c r="E111" s="3" t="str">
        <f>INDEX(LEGENDA!$A$5:$B$15,MATCH(D111,LEGENDA!$B$5:$B$15,0),1)</f>
        <v>1</v>
      </c>
      <c r="F111" s="3" t="s">
        <v>610</v>
      </c>
      <c r="G111" s="3" t="s">
        <v>612</v>
      </c>
      <c r="H111" s="3" t="s">
        <v>611</v>
      </c>
      <c r="I111" s="6" t="s">
        <v>148</v>
      </c>
      <c r="J111" s="3"/>
      <c r="K111" s="3"/>
    </row>
    <row r="112" spans="1:11" ht="30.7" hidden="1" x14ac:dyDescent="0.3">
      <c r="A112" s="3" t="s">
        <v>607</v>
      </c>
      <c r="B112" s="3" t="s">
        <v>613</v>
      </c>
      <c r="C112" s="3" t="s">
        <v>614</v>
      </c>
      <c r="D112" s="3" t="s">
        <v>177</v>
      </c>
      <c r="E112" s="3" t="str">
        <f>INDEX(LEGENDA!$A$5:$B$15,MATCH(D112,LEGENDA!$B$5:$B$15,0),1)</f>
        <v>2</v>
      </c>
      <c r="F112" s="3" t="s">
        <v>107</v>
      </c>
      <c r="G112" s="3" t="s">
        <v>616</v>
      </c>
      <c r="H112" s="3" t="s">
        <v>615</v>
      </c>
      <c r="I112" s="6" t="s">
        <v>148</v>
      </c>
      <c r="J112" s="3"/>
      <c r="K112" s="3"/>
    </row>
    <row r="113" spans="1:11" hidden="1" x14ac:dyDescent="0.3">
      <c r="A113" s="3" t="s">
        <v>607</v>
      </c>
      <c r="B113" s="3" t="s">
        <v>617</v>
      </c>
      <c r="C113" s="3" t="s">
        <v>618</v>
      </c>
      <c r="D113" s="3" t="s">
        <v>172</v>
      </c>
      <c r="E113" s="3" t="str">
        <f>INDEX(LEGENDA!$A$5:$B$15,MATCH(D113,LEGENDA!$B$5:$B$15,0),1)</f>
        <v>8</v>
      </c>
      <c r="F113" s="3" t="s">
        <v>107</v>
      </c>
      <c r="G113" s="3" t="s">
        <v>620</v>
      </c>
      <c r="H113" s="3" t="s">
        <v>619</v>
      </c>
      <c r="I113" s="6" t="s">
        <v>148</v>
      </c>
      <c r="J113" s="3"/>
      <c r="K113" s="3"/>
    </row>
    <row r="114" spans="1:11" hidden="1" x14ac:dyDescent="0.3">
      <c r="A114" s="3" t="s">
        <v>607</v>
      </c>
      <c r="B114" s="3" t="s">
        <v>621</v>
      </c>
      <c r="C114" s="3" t="s">
        <v>622</v>
      </c>
      <c r="D114" s="3" t="s">
        <v>191</v>
      </c>
      <c r="E114" s="3" t="str">
        <f>INDEX(LEGENDA!$A$5:$B$15,MATCH(D114,LEGENDA!$B$5:$B$15,0),1)</f>
        <v>3</v>
      </c>
      <c r="F114" s="3" t="s">
        <v>107</v>
      </c>
      <c r="G114" s="3" t="s">
        <v>624</v>
      </c>
      <c r="H114" s="3" t="s">
        <v>623</v>
      </c>
      <c r="I114" s="7" t="s">
        <v>168</v>
      </c>
      <c r="J114" s="3"/>
      <c r="K114" s="3"/>
    </row>
    <row r="115" spans="1:11" hidden="1" x14ac:dyDescent="0.3">
      <c r="A115" s="3" t="s">
        <v>607</v>
      </c>
      <c r="B115" s="3" t="s">
        <v>625</v>
      </c>
      <c r="C115" s="3" t="s">
        <v>626</v>
      </c>
      <c r="D115" s="3" t="s">
        <v>166</v>
      </c>
      <c r="E115" s="3" t="str">
        <f>INDEX(LEGENDA!$A$5:$B$15,MATCH(D115,LEGENDA!$B$5:$B$15,0),1)</f>
        <v>9</v>
      </c>
      <c r="F115" s="3" t="s">
        <v>107</v>
      </c>
      <c r="G115" s="3" t="s">
        <v>628</v>
      </c>
      <c r="H115" s="3" t="s">
        <v>627</v>
      </c>
      <c r="I115" s="6" t="s">
        <v>148</v>
      </c>
      <c r="J115" s="3"/>
      <c r="K115" s="3"/>
    </row>
    <row r="116" spans="1:11" ht="30.7" hidden="1" x14ac:dyDescent="0.3">
      <c r="A116" s="5" t="s">
        <v>629</v>
      </c>
      <c r="B116" s="3" t="s">
        <v>630</v>
      </c>
      <c r="C116" s="3" t="s">
        <v>631</v>
      </c>
      <c r="D116" s="3" t="s">
        <v>177</v>
      </c>
      <c r="E116" s="3" t="str">
        <f>INDEX(LEGENDA!$A$5:$B$15,MATCH(D116,LEGENDA!$B$5:$B$15,0),1)</f>
        <v>2</v>
      </c>
      <c r="F116" s="3" t="s">
        <v>632</v>
      </c>
      <c r="G116" s="3" t="s">
        <v>634</v>
      </c>
      <c r="H116" s="3" t="s">
        <v>633</v>
      </c>
      <c r="I116" s="6" t="s">
        <v>148</v>
      </c>
      <c r="J116" s="3"/>
      <c r="K116" s="3"/>
    </row>
    <row r="117" spans="1:11" hidden="1" x14ac:dyDescent="0.3">
      <c r="A117" s="3" t="s">
        <v>629</v>
      </c>
      <c r="B117" s="3" t="s">
        <v>635</v>
      </c>
      <c r="C117" s="3" t="s">
        <v>636</v>
      </c>
      <c r="D117" s="3" t="s">
        <v>191</v>
      </c>
      <c r="E117" s="3" t="str">
        <f>INDEX(LEGENDA!$A$5:$B$15,MATCH(D117,LEGENDA!$B$5:$B$15,0),1)</f>
        <v>3</v>
      </c>
      <c r="F117" s="3" t="s">
        <v>103</v>
      </c>
      <c r="G117" s="3" t="s">
        <v>638</v>
      </c>
      <c r="H117" s="3" t="s">
        <v>637</v>
      </c>
      <c r="I117" s="6" t="s">
        <v>148</v>
      </c>
      <c r="J117" s="3"/>
      <c r="K117" s="3"/>
    </row>
    <row r="118" spans="1:11" ht="30.7" hidden="1" x14ac:dyDescent="0.3">
      <c r="A118" s="3" t="s">
        <v>629</v>
      </c>
      <c r="B118" s="3" t="s">
        <v>639</v>
      </c>
      <c r="C118" s="3" t="s">
        <v>640</v>
      </c>
      <c r="D118" s="3" t="s">
        <v>191</v>
      </c>
      <c r="E118" s="3" t="str">
        <f>INDEX(LEGENDA!$A$5:$B$15,MATCH(D118,LEGENDA!$B$5:$B$15,0),1)</f>
        <v>3</v>
      </c>
      <c r="F118" s="3" t="s">
        <v>99</v>
      </c>
      <c r="G118" s="3" t="s">
        <v>642</v>
      </c>
      <c r="H118" s="3" t="s">
        <v>641</v>
      </c>
      <c r="I118" s="6" t="s">
        <v>148</v>
      </c>
      <c r="J118" s="3"/>
      <c r="K118" s="3"/>
    </row>
    <row r="119" spans="1:11" hidden="1" x14ac:dyDescent="0.3">
      <c r="A119" s="3" t="s">
        <v>629</v>
      </c>
      <c r="B119" s="3" t="s">
        <v>643</v>
      </c>
      <c r="C119" s="3" t="s">
        <v>644</v>
      </c>
      <c r="D119" s="3" t="s">
        <v>191</v>
      </c>
      <c r="E119" s="3" t="str">
        <f>INDEX(LEGENDA!$A$5:$B$15,MATCH(D119,LEGENDA!$B$5:$B$15,0),1)</f>
        <v>3</v>
      </c>
      <c r="F119" s="3" t="s">
        <v>103</v>
      </c>
      <c r="G119" s="3" t="s">
        <v>646</v>
      </c>
      <c r="H119" s="3" t="s">
        <v>645</v>
      </c>
      <c r="I119" s="6" t="s">
        <v>148</v>
      </c>
      <c r="J119" s="3"/>
      <c r="K119" s="3"/>
    </row>
    <row r="120" spans="1:11" hidden="1" x14ac:dyDescent="0.3">
      <c r="A120" s="3" t="s">
        <v>629</v>
      </c>
      <c r="B120" s="3" t="s">
        <v>647</v>
      </c>
      <c r="C120" s="3" t="s">
        <v>648</v>
      </c>
      <c r="D120" s="3" t="s">
        <v>166</v>
      </c>
      <c r="E120" s="3" t="str">
        <f>INDEX(LEGENDA!$A$5:$B$15,MATCH(D120,LEGENDA!$B$5:$B$15,0),1)</f>
        <v>9</v>
      </c>
      <c r="F120" s="3" t="s">
        <v>103</v>
      </c>
      <c r="G120" s="3" t="s">
        <v>650</v>
      </c>
      <c r="H120" s="3" t="s">
        <v>649</v>
      </c>
      <c r="I120" s="6" t="s">
        <v>148</v>
      </c>
      <c r="J120" s="3"/>
      <c r="K120" s="3"/>
    </row>
    <row r="121" spans="1:11" hidden="1" x14ac:dyDescent="0.3">
      <c r="A121" s="3" t="s">
        <v>629</v>
      </c>
      <c r="B121" s="3" t="s">
        <v>651</v>
      </c>
      <c r="C121" s="3" t="s">
        <v>652</v>
      </c>
      <c r="D121" s="3" t="s">
        <v>161</v>
      </c>
      <c r="E121" s="3" t="e">
        <f>INDEX(LEGENDA!$A$5:$B$15,MATCH(D121,LEGENDA!$B$5:$B$15,0),1)</f>
        <v>#N/A</v>
      </c>
      <c r="F121" s="3" t="s">
        <v>99</v>
      </c>
      <c r="G121" s="3" t="s">
        <v>654</v>
      </c>
      <c r="H121" s="3" t="s">
        <v>653</v>
      </c>
      <c r="I121" s="6" t="s">
        <v>148</v>
      </c>
      <c r="J121" s="3"/>
      <c r="K121" s="3"/>
    </row>
    <row r="122" spans="1:11" ht="30.7" x14ac:dyDescent="0.3">
      <c r="A122" s="5" t="s">
        <v>655</v>
      </c>
      <c r="B122" s="3" t="s">
        <v>656</v>
      </c>
      <c r="C122" s="3" t="s">
        <v>657</v>
      </c>
      <c r="D122" s="3" t="s">
        <v>177</v>
      </c>
      <c r="E122" s="3" t="str">
        <f>INDEX(LEGENDA!$A$5:$B$15,MATCH(D122,LEGENDA!$B$5:$B$15,0),1)</f>
        <v>2</v>
      </c>
      <c r="F122" s="3" t="s">
        <v>99</v>
      </c>
      <c r="G122" s="3" t="s">
        <v>659</v>
      </c>
      <c r="H122" s="3" t="s">
        <v>658</v>
      </c>
      <c r="I122" s="6" t="s">
        <v>148</v>
      </c>
      <c r="J122" s="3"/>
      <c r="K122" s="3"/>
    </row>
    <row r="123" spans="1:11" x14ac:dyDescent="0.3">
      <c r="A123" s="3" t="s">
        <v>655</v>
      </c>
      <c r="B123" s="3" t="s">
        <v>660</v>
      </c>
      <c r="C123" s="3" t="s">
        <v>661</v>
      </c>
      <c r="D123" s="3" t="s">
        <v>177</v>
      </c>
      <c r="E123" s="3" t="str">
        <f>INDEX(LEGENDA!$A$5:$B$15,MATCH(D123,LEGENDA!$B$5:$B$15,0),1)</f>
        <v>2</v>
      </c>
      <c r="F123" s="3" t="s">
        <v>99</v>
      </c>
      <c r="G123" s="3" t="s">
        <v>663</v>
      </c>
      <c r="H123" s="3" t="s">
        <v>662</v>
      </c>
      <c r="I123" s="6" t="s">
        <v>148</v>
      </c>
      <c r="J123" s="3"/>
      <c r="K123" s="3"/>
    </row>
    <row r="124" spans="1:11" x14ac:dyDescent="0.3">
      <c r="A124" s="3" t="s">
        <v>655</v>
      </c>
      <c r="B124" s="3" t="s">
        <v>664</v>
      </c>
      <c r="C124" s="3" t="s">
        <v>665</v>
      </c>
      <c r="D124" s="3" t="s">
        <v>172</v>
      </c>
      <c r="E124" s="3" t="str">
        <f>INDEX(LEGENDA!$A$5:$B$15,MATCH(D124,LEGENDA!$B$5:$B$15,0),1)</f>
        <v>8</v>
      </c>
      <c r="F124" s="3" t="s">
        <v>99</v>
      </c>
      <c r="G124" s="3" t="s">
        <v>667</v>
      </c>
      <c r="H124" s="3" t="s">
        <v>666</v>
      </c>
      <c r="I124" s="6" t="s">
        <v>148</v>
      </c>
      <c r="J124" s="3"/>
      <c r="K124" s="3"/>
    </row>
    <row r="125" spans="1:11" x14ac:dyDescent="0.3">
      <c r="A125" s="3" t="s">
        <v>655</v>
      </c>
      <c r="B125" s="3" t="s">
        <v>668</v>
      </c>
      <c r="C125" s="3" t="s">
        <v>669</v>
      </c>
      <c r="D125" s="3" t="s">
        <v>191</v>
      </c>
      <c r="E125" s="3" t="str">
        <f>INDEX(LEGENDA!$A$5:$B$15,MATCH(D125,LEGENDA!$B$5:$B$15,0),1)</f>
        <v>3</v>
      </c>
      <c r="F125" s="3" t="s">
        <v>99</v>
      </c>
      <c r="G125" s="3" t="s">
        <v>671</v>
      </c>
      <c r="H125" s="3" t="s">
        <v>670</v>
      </c>
      <c r="I125" s="6" t="s">
        <v>148</v>
      </c>
      <c r="J125" s="3"/>
      <c r="K125" s="3"/>
    </row>
    <row r="126" spans="1:11" x14ac:dyDescent="0.3">
      <c r="A126" s="3" t="s">
        <v>655</v>
      </c>
      <c r="B126" s="3" t="s">
        <v>672</v>
      </c>
      <c r="C126" s="3" t="s">
        <v>673</v>
      </c>
      <c r="D126" s="3" t="s">
        <v>191</v>
      </c>
      <c r="E126" s="3" t="str">
        <f>INDEX(LEGENDA!$A$5:$B$15,MATCH(D126,LEGENDA!$B$5:$B$15,0),1)</f>
        <v>3</v>
      </c>
      <c r="F126" s="3" t="s">
        <v>99</v>
      </c>
      <c r="G126" s="3" t="s">
        <v>675</v>
      </c>
      <c r="H126" s="3" t="s">
        <v>674</v>
      </c>
      <c r="I126" s="6" t="s">
        <v>148</v>
      </c>
      <c r="J126" s="3"/>
      <c r="K126" s="3"/>
    </row>
    <row r="127" spans="1:11" x14ac:dyDescent="0.3">
      <c r="A127" s="3" t="s">
        <v>655</v>
      </c>
      <c r="B127" s="3" t="s">
        <v>676</v>
      </c>
      <c r="C127" s="3" t="s">
        <v>677</v>
      </c>
      <c r="D127" s="3" t="s">
        <v>166</v>
      </c>
      <c r="E127" s="3" t="str">
        <f>INDEX(LEGENDA!$A$5:$B$15,MATCH(D127,LEGENDA!$B$5:$B$15,0),1)</f>
        <v>9</v>
      </c>
      <c r="F127" s="3" t="s">
        <v>99</v>
      </c>
      <c r="G127" s="3" t="s">
        <v>679</v>
      </c>
      <c r="H127" s="3" t="s">
        <v>678</v>
      </c>
      <c r="I127" s="6" t="s">
        <v>148</v>
      </c>
      <c r="J127" s="3"/>
      <c r="K127" s="3"/>
    </row>
    <row r="128" spans="1:11" x14ac:dyDescent="0.3">
      <c r="A128" s="3" t="s">
        <v>655</v>
      </c>
      <c r="B128" s="3" t="s">
        <v>680</v>
      </c>
      <c r="C128" s="3" t="s">
        <v>681</v>
      </c>
      <c r="D128" s="3" t="s">
        <v>166</v>
      </c>
      <c r="E128" s="3" t="str">
        <f>INDEX(LEGENDA!$A$5:$B$15,MATCH(D128,LEGENDA!$B$5:$B$15,0),1)</f>
        <v>9</v>
      </c>
      <c r="F128" s="3" t="s">
        <v>99</v>
      </c>
      <c r="G128" s="3" t="s">
        <v>683</v>
      </c>
      <c r="H128" s="3" t="s">
        <v>682</v>
      </c>
      <c r="I128" s="6" t="s">
        <v>148</v>
      </c>
      <c r="J128" s="3"/>
      <c r="K128" s="3"/>
    </row>
    <row r="129" spans="1:11" x14ac:dyDescent="0.3">
      <c r="A129" s="3" t="s">
        <v>655</v>
      </c>
      <c r="B129" s="3" t="s">
        <v>684</v>
      </c>
      <c r="C129" s="3" t="s">
        <v>685</v>
      </c>
      <c r="D129" s="3" t="s">
        <v>182</v>
      </c>
      <c r="E129" s="3" t="str">
        <f>INDEX(LEGENDA!$A$5:$B$15,MATCH(D129,LEGENDA!$B$5:$B$15,0),1)</f>
        <v>10</v>
      </c>
      <c r="F129" s="3" t="s">
        <v>99</v>
      </c>
      <c r="G129" s="3" t="s">
        <v>687</v>
      </c>
      <c r="H129" s="3" t="s">
        <v>686</v>
      </c>
      <c r="I129" s="6" t="s">
        <v>148</v>
      </c>
      <c r="J129" s="3"/>
      <c r="K129" s="3"/>
    </row>
    <row r="130" spans="1:11" hidden="1" x14ac:dyDescent="0.3">
      <c r="A130" s="5" t="s">
        <v>688</v>
      </c>
      <c r="B130" s="3" t="s">
        <v>689</v>
      </c>
      <c r="C130" s="3" t="s">
        <v>690</v>
      </c>
      <c r="D130" s="3" t="s">
        <v>146</v>
      </c>
      <c r="E130" s="3" t="str">
        <f>INDEX(LEGENDA!$A$5:$B$15,MATCH(D130,LEGENDA!$B$5:$B$15,0),1)</f>
        <v>1</v>
      </c>
      <c r="F130" s="3" t="s">
        <v>107</v>
      </c>
      <c r="G130" s="3" t="s">
        <v>692</v>
      </c>
      <c r="H130" s="3" t="s">
        <v>691</v>
      </c>
      <c r="I130" s="6" t="s">
        <v>148</v>
      </c>
      <c r="J130" s="3"/>
      <c r="K130" s="3"/>
    </row>
    <row r="131" spans="1:11" hidden="1" x14ac:dyDescent="0.3">
      <c r="A131" s="3" t="s">
        <v>688</v>
      </c>
      <c r="B131" s="3" t="s">
        <v>693</v>
      </c>
      <c r="C131" s="3" t="s">
        <v>694</v>
      </c>
      <c r="D131" s="3" t="s">
        <v>191</v>
      </c>
      <c r="E131" s="3" t="str">
        <f>INDEX(LEGENDA!$A$5:$B$15,MATCH(D131,LEGENDA!$B$5:$B$15,0),1)</f>
        <v>3</v>
      </c>
      <c r="F131" s="3" t="s">
        <v>107</v>
      </c>
      <c r="G131" s="3" t="s">
        <v>696</v>
      </c>
      <c r="H131" s="3" t="s">
        <v>695</v>
      </c>
      <c r="I131" s="6" t="s">
        <v>148</v>
      </c>
      <c r="J131" s="3"/>
      <c r="K131" s="3"/>
    </row>
    <row r="132" spans="1:11" hidden="1" x14ac:dyDescent="0.3">
      <c r="A132" s="3" t="s">
        <v>688</v>
      </c>
      <c r="B132" s="3" t="s">
        <v>697</v>
      </c>
      <c r="C132" s="3" t="s">
        <v>698</v>
      </c>
      <c r="D132" s="3" t="s">
        <v>191</v>
      </c>
      <c r="E132" s="3" t="str">
        <f>INDEX(LEGENDA!$A$5:$B$15,MATCH(D132,LEGENDA!$B$5:$B$15,0),1)</f>
        <v>3</v>
      </c>
      <c r="F132" s="3" t="s">
        <v>107</v>
      </c>
      <c r="G132" s="3" t="s">
        <v>700</v>
      </c>
      <c r="H132" s="3" t="s">
        <v>699</v>
      </c>
      <c r="I132" s="6" t="s">
        <v>148</v>
      </c>
      <c r="J132" s="3"/>
      <c r="K132" s="3"/>
    </row>
    <row r="133" spans="1:11" hidden="1" x14ac:dyDescent="0.3">
      <c r="A133" s="3" t="s">
        <v>688</v>
      </c>
      <c r="B133" s="3" t="s">
        <v>701</v>
      </c>
      <c r="C133" s="3" t="s">
        <v>702</v>
      </c>
      <c r="D133" s="3" t="s">
        <v>191</v>
      </c>
      <c r="E133" s="3" t="str">
        <f>INDEX(LEGENDA!$A$5:$B$15,MATCH(D133,LEGENDA!$B$5:$B$15,0),1)</f>
        <v>3</v>
      </c>
      <c r="F133" s="3" t="s">
        <v>99</v>
      </c>
      <c r="G133" s="3" t="s">
        <v>704</v>
      </c>
      <c r="H133" s="3" t="s">
        <v>703</v>
      </c>
      <c r="I133" s="7" t="s">
        <v>168</v>
      </c>
      <c r="J133" s="3"/>
      <c r="K133" s="3"/>
    </row>
    <row r="134" spans="1:11" hidden="1" x14ac:dyDescent="0.3">
      <c r="A134" s="5" t="s">
        <v>705</v>
      </c>
      <c r="B134" s="3" t="s">
        <v>706</v>
      </c>
      <c r="C134" s="3" t="s">
        <v>707</v>
      </c>
      <c r="D134" s="3" t="s">
        <v>177</v>
      </c>
      <c r="E134" s="3" t="str">
        <f>INDEX(LEGENDA!$A$5:$B$15,MATCH(D134,LEGENDA!$B$5:$B$15,0),1)</f>
        <v>2</v>
      </c>
      <c r="F134" s="3" t="s">
        <v>99</v>
      </c>
      <c r="G134" s="3" t="s">
        <v>709</v>
      </c>
      <c r="H134" s="3" t="s">
        <v>708</v>
      </c>
      <c r="I134" s="6" t="s">
        <v>148</v>
      </c>
      <c r="J134" s="3"/>
      <c r="K134" s="3"/>
    </row>
    <row r="135" spans="1:11" hidden="1" x14ac:dyDescent="0.3">
      <c r="A135" s="3" t="s">
        <v>705</v>
      </c>
      <c r="B135" s="3" t="s">
        <v>710</v>
      </c>
      <c r="C135" s="3" t="s">
        <v>711</v>
      </c>
      <c r="D135" s="3" t="s">
        <v>191</v>
      </c>
      <c r="E135" s="3" t="str">
        <f>INDEX(LEGENDA!$A$5:$B$15,MATCH(D135,LEGENDA!$B$5:$B$15,0),1)</f>
        <v>3</v>
      </c>
      <c r="F135" s="3" t="s">
        <v>99</v>
      </c>
      <c r="G135" s="3" t="s">
        <v>713</v>
      </c>
      <c r="H135" s="3" t="s">
        <v>712</v>
      </c>
      <c r="I135" s="6" t="s">
        <v>148</v>
      </c>
      <c r="J135" s="3"/>
      <c r="K135" s="3"/>
    </row>
    <row r="136" spans="1:11" hidden="1" x14ac:dyDescent="0.3">
      <c r="A136" s="3" t="s">
        <v>705</v>
      </c>
      <c r="B136" s="3" t="s">
        <v>714</v>
      </c>
      <c r="C136" s="3" t="s">
        <v>715</v>
      </c>
      <c r="D136" s="3" t="s">
        <v>191</v>
      </c>
      <c r="E136" s="3" t="str">
        <f>INDEX(LEGENDA!$A$5:$B$15,MATCH(D136,LEGENDA!$B$5:$B$15,0),1)</f>
        <v>3</v>
      </c>
      <c r="F136" s="3" t="s">
        <v>99</v>
      </c>
      <c r="G136" s="3" t="s">
        <v>717</v>
      </c>
      <c r="H136" s="3" t="s">
        <v>716</v>
      </c>
      <c r="I136" s="6" t="s">
        <v>148</v>
      </c>
      <c r="J136" s="3"/>
      <c r="K136" s="3"/>
    </row>
    <row r="137" spans="1:11" hidden="1" x14ac:dyDescent="0.3">
      <c r="A137" s="3" t="s">
        <v>705</v>
      </c>
      <c r="B137" s="3" t="s">
        <v>718</v>
      </c>
      <c r="C137" s="3" t="s">
        <v>719</v>
      </c>
      <c r="D137" s="3" t="s">
        <v>182</v>
      </c>
      <c r="E137" s="3" t="str">
        <f>INDEX(LEGENDA!$A$5:$B$15,MATCH(D137,LEGENDA!$B$5:$B$15,0),1)</f>
        <v>10</v>
      </c>
      <c r="F137" s="3" t="s">
        <v>99</v>
      </c>
      <c r="G137" s="3" t="s">
        <v>721</v>
      </c>
      <c r="H137" s="3" t="s">
        <v>720</v>
      </c>
      <c r="I137" s="7" t="s">
        <v>168</v>
      </c>
      <c r="J137" s="3"/>
      <c r="K137" s="3"/>
    </row>
    <row r="138" spans="1:11" hidden="1" x14ac:dyDescent="0.3">
      <c r="A138" s="3" t="s">
        <v>705</v>
      </c>
      <c r="B138" s="3" t="s">
        <v>722</v>
      </c>
      <c r="C138" s="3" t="s">
        <v>723</v>
      </c>
      <c r="D138" s="3" t="s">
        <v>166</v>
      </c>
      <c r="E138" s="3" t="str">
        <f>INDEX(LEGENDA!$A$5:$B$15,MATCH(D138,LEGENDA!$B$5:$B$15,0),1)</f>
        <v>9</v>
      </c>
      <c r="F138" s="3" t="s">
        <v>99</v>
      </c>
      <c r="G138" s="3" t="s">
        <v>725</v>
      </c>
      <c r="H138" s="3" t="s">
        <v>724</v>
      </c>
      <c r="I138" s="7" t="s">
        <v>168</v>
      </c>
      <c r="J138" s="3"/>
      <c r="K138" s="3"/>
    </row>
  </sheetData>
  <autoFilter ref="A1:K138" xr:uid="{00000000-0001-0000-0100-000000000000}">
    <filterColumn colId="0">
      <filters>
        <filter val="01. GOVERNANCE E STRATEGIA"/>
        <filter val="18. COMPLIANCE E AUDIT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workbookViewId="0">
      <pane ySplit="1" topLeftCell="A2" activePane="bottomLeft" state="frozen"/>
      <selection pane="bottomLeft" activeCell="D16" sqref="D16"/>
    </sheetView>
  </sheetViews>
  <sheetFormatPr defaultRowHeight="15.35" x14ac:dyDescent="0.3"/>
  <cols>
    <col min="1" max="1" width="15" customWidth="1"/>
    <col min="2" max="2" width="25" customWidth="1"/>
    <col min="3" max="3" width="45" customWidth="1"/>
    <col min="4" max="4" width="55" customWidth="1"/>
  </cols>
  <sheetData>
    <row r="1" spans="1:4" ht="30.7" x14ac:dyDescent="0.3">
      <c r="A1" s="4" t="s">
        <v>726</v>
      </c>
      <c r="B1" s="4" t="s">
        <v>727</v>
      </c>
      <c r="C1" s="4" t="s">
        <v>728</v>
      </c>
      <c r="D1" s="4" t="s">
        <v>729</v>
      </c>
    </row>
    <row r="2" spans="1:4" x14ac:dyDescent="0.3">
      <c r="A2" s="8" t="s">
        <v>50</v>
      </c>
      <c r="B2" s="8" t="s">
        <v>730</v>
      </c>
      <c r="C2" s="8" t="s">
        <v>731</v>
      </c>
      <c r="D2" s="8" t="s">
        <v>732</v>
      </c>
    </row>
    <row r="3" spans="1:4" x14ac:dyDescent="0.3">
      <c r="A3" s="3" t="s">
        <v>50</v>
      </c>
      <c r="B3" s="3" t="s">
        <v>733</v>
      </c>
      <c r="C3" s="3" t="s">
        <v>734</v>
      </c>
      <c r="D3" s="3" t="s">
        <v>735</v>
      </c>
    </row>
    <row r="4" spans="1:4" x14ac:dyDescent="0.3">
      <c r="A4" s="8" t="s">
        <v>50</v>
      </c>
      <c r="B4" s="8" t="s">
        <v>736</v>
      </c>
      <c r="C4" s="8" t="s">
        <v>737</v>
      </c>
      <c r="D4" s="8" t="s">
        <v>738</v>
      </c>
    </row>
    <row r="5" spans="1:4" x14ac:dyDescent="0.3">
      <c r="A5" s="3" t="s">
        <v>50</v>
      </c>
      <c r="B5" s="3" t="s">
        <v>739</v>
      </c>
      <c r="C5" s="3" t="s">
        <v>740</v>
      </c>
      <c r="D5" s="3" t="s">
        <v>741</v>
      </c>
    </row>
    <row r="6" spans="1:4" x14ac:dyDescent="0.3">
      <c r="A6" s="8" t="s">
        <v>50</v>
      </c>
      <c r="B6" s="8" t="s">
        <v>742</v>
      </c>
      <c r="C6" s="8" t="s">
        <v>743</v>
      </c>
      <c r="D6" s="8" t="s">
        <v>744</v>
      </c>
    </row>
    <row r="7" spans="1:4" x14ac:dyDescent="0.3">
      <c r="A7" s="3" t="s">
        <v>50</v>
      </c>
      <c r="B7" s="3" t="s">
        <v>745</v>
      </c>
      <c r="C7" s="3" t="s">
        <v>746</v>
      </c>
      <c r="D7" s="3" t="s">
        <v>747</v>
      </c>
    </row>
    <row r="8" spans="1:4" x14ac:dyDescent="0.3">
      <c r="A8" s="8" t="s">
        <v>50</v>
      </c>
      <c r="B8" s="8" t="s">
        <v>748</v>
      </c>
      <c r="C8" s="8" t="s">
        <v>749</v>
      </c>
      <c r="D8" s="8" t="s">
        <v>750</v>
      </c>
    </row>
    <row r="9" spans="1:4" x14ac:dyDescent="0.3">
      <c r="A9" s="3" t="s">
        <v>50</v>
      </c>
      <c r="B9" s="3" t="s">
        <v>751</v>
      </c>
      <c r="C9" s="3" t="s">
        <v>752</v>
      </c>
      <c r="D9" s="3" t="s">
        <v>753</v>
      </c>
    </row>
    <row r="10" spans="1:4" x14ac:dyDescent="0.3">
      <c r="A10" s="8" t="s">
        <v>50</v>
      </c>
      <c r="B10" s="8" t="s">
        <v>754</v>
      </c>
      <c r="C10" s="8" t="s">
        <v>755</v>
      </c>
      <c r="D10" s="8" t="s">
        <v>756</v>
      </c>
    </row>
    <row r="11" spans="1:4" x14ac:dyDescent="0.3">
      <c r="A11" s="3" t="s">
        <v>50</v>
      </c>
      <c r="B11" s="3" t="s">
        <v>757</v>
      </c>
      <c r="C11" s="3" t="s">
        <v>758</v>
      </c>
      <c r="D11" s="3" t="s">
        <v>759</v>
      </c>
    </row>
    <row r="12" spans="1:4" x14ac:dyDescent="0.3">
      <c r="A12" s="8" t="s">
        <v>50</v>
      </c>
      <c r="B12" s="8" t="s">
        <v>760</v>
      </c>
      <c r="C12" s="8" t="s">
        <v>761</v>
      </c>
      <c r="D12" s="8" t="s">
        <v>762</v>
      </c>
    </row>
    <row r="13" spans="1:4" x14ac:dyDescent="0.3">
      <c r="A13" s="3" t="s">
        <v>50</v>
      </c>
      <c r="B13" s="3" t="s">
        <v>763</v>
      </c>
      <c r="C13" s="3" t="s">
        <v>764</v>
      </c>
      <c r="D13" s="3" t="s">
        <v>765</v>
      </c>
    </row>
    <row r="14" spans="1:4" x14ac:dyDescent="0.3">
      <c r="A14" s="8" t="s">
        <v>58</v>
      </c>
      <c r="B14" s="8" t="s">
        <v>766</v>
      </c>
      <c r="C14" s="8" t="s">
        <v>767</v>
      </c>
      <c r="D14" s="8" t="s">
        <v>765</v>
      </c>
    </row>
    <row r="15" spans="1:4" x14ac:dyDescent="0.3">
      <c r="A15" s="3" t="s">
        <v>58</v>
      </c>
      <c r="B15" s="3" t="s">
        <v>768</v>
      </c>
      <c r="C15" s="3" t="s">
        <v>769</v>
      </c>
      <c r="D15" s="3" t="s">
        <v>159</v>
      </c>
    </row>
    <row r="16" spans="1:4" x14ac:dyDescent="0.3">
      <c r="A16" s="8" t="s">
        <v>58</v>
      </c>
      <c r="B16" s="8" t="s">
        <v>770</v>
      </c>
      <c r="C16" s="8" t="s">
        <v>771</v>
      </c>
      <c r="D16" s="8" t="s">
        <v>170</v>
      </c>
    </row>
    <row r="17" spans="1:4" x14ac:dyDescent="0.3">
      <c r="A17" s="3" t="s">
        <v>58</v>
      </c>
      <c r="B17" s="3" t="s">
        <v>772</v>
      </c>
      <c r="C17" s="3" t="s">
        <v>773</v>
      </c>
      <c r="D17" s="3" t="s">
        <v>774</v>
      </c>
    </row>
    <row r="18" spans="1:4" x14ac:dyDescent="0.3">
      <c r="A18" s="8" t="s">
        <v>58</v>
      </c>
      <c r="B18" s="8" t="s">
        <v>775</v>
      </c>
      <c r="C18" s="8" t="s">
        <v>776</v>
      </c>
      <c r="D18" s="8" t="s">
        <v>777</v>
      </c>
    </row>
    <row r="19" spans="1:4" x14ac:dyDescent="0.3">
      <c r="A19" s="3" t="s">
        <v>58</v>
      </c>
      <c r="B19" s="3" t="s">
        <v>778</v>
      </c>
      <c r="C19" s="3" t="s">
        <v>779</v>
      </c>
      <c r="D19" s="3" t="s">
        <v>780</v>
      </c>
    </row>
    <row r="20" spans="1:4" x14ac:dyDescent="0.3">
      <c r="A20" s="8" t="s">
        <v>58</v>
      </c>
      <c r="B20" s="8" t="s">
        <v>781</v>
      </c>
      <c r="C20" s="8" t="s">
        <v>782</v>
      </c>
      <c r="D20" s="8" t="s">
        <v>783</v>
      </c>
    </row>
    <row r="21" spans="1:4" ht="30.7" x14ac:dyDescent="0.3">
      <c r="A21" s="3" t="s">
        <v>54</v>
      </c>
      <c r="B21" s="3" t="s">
        <v>784</v>
      </c>
      <c r="C21" s="3" t="s">
        <v>785</v>
      </c>
      <c r="D21" s="3" t="s">
        <v>786</v>
      </c>
    </row>
    <row r="22" spans="1:4" x14ac:dyDescent="0.3">
      <c r="A22" s="8" t="s">
        <v>54</v>
      </c>
      <c r="B22" s="8" t="s">
        <v>787</v>
      </c>
      <c r="C22" s="8" t="s">
        <v>788</v>
      </c>
      <c r="D22" s="8" t="s">
        <v>789</v>
      </c>
    </row>
    <row r="23" spans="1:4" x14ac:dyDescent="0.3">
      <c r="A23" s="3" t="s">
        <v>54</v>
      </c>
      <c r="B23" s="3" t="s">
        <v>790</v>
      </c>
      <c r="C23" s="3" t="s">
        <v>791</v>
      </c>
      <c r="D23" s="3" t="s">
        <v>792</v>
      </c>
    </row>
    <row r="24" spans="1:4" x14ac:dyDescent="0.3">
      <c r="A24" s="8" t="s">
        <v>54</v>
      </c>
      <c r="B24" s="8" t="s">
        <v>793</v>
      </c>
      <c r="C24" s="8" t="s">
        <v>794</v>
      </c>
      <c r="D24" s="8" t="s">
        <v>795</v>
      </c>
    </row>
    <row r="25" spans="1:4" x14ac:dyDescent="0.3">
      <c r="A25" s="3" t="s">
        <v>54</v>
      </c>
      <c r="B25" s="3" t="s">
        <v>796</v>
      </c>
      <c r="C25" s="3" t="s">
        <v>797</v>
      </c>
      <c r="D25" s="3" t="s">
        <v>798</v>
      </c>
    </row>
    <row r="26" spans="1:4" x14ac:dyDescent="0.3">
      <c r="A26" s="8" t="s">
        <v>54</v>
      </c>
      <c r="B26" s="8" t="s">
        <v>799</v>
      </c>
      <c r="C26" s="8" t="s">
        <v>800</v>
      </c>
      <c r="D26" s="8" t="s">
        <v>801</v>
      </c>
    </row>
    <row r="27" spans="1:4" x14ac:dyDescent="0.3">
      <c r="A27" s="3" t="s">
        <v>54</v>
      </c>
      <c r="B27" s="3" t="s">
        <v>802</v>
      </c>
      <c r="C27" s="3" t="s">
        <v>803</v>
      </c>
      <c r="D27" s="3" t="s">
        <v>804</v>
      </c>
    </row>
    <row r="28" spans="1:4" x14ac:dyDescent="0.3">
      <c r="A28" s="8" t="s">
        <v>54</v>
      </c>
      <c r="B28" s="8" t="s">
        <v>805</v>
      </c>
      <c r="C28" s="8" t="s">
        <v>806</v>
      </c>
      <c r="D28" s="8" t="s">
        <v>807</v>
      </c>
    </row>
    <row r="29" spans="1:4" x14ac:dyDescent="0.3">
      <c r="A29" s="3" t="s">
        <v>54</v>
      </c>
      <c r="B29" s="3" t="s">
        <v>808</v>
      </c>
      <c r="C29" s="3" t="s">
        <v>809</v>
      </c>
      <c r="D29" s="3" t="s">
        <v>810</v>
      </c>
    </row>
    <row r="30" spans="1:4" ht="30.7" x14ac:dyDescent="0.3">
      <c r="A30" s="8" t="s">
        <v>54</v>
      </c>
      <c r="B30" s="8" t="s">
        <v>811</v>
      </c>
      <c r="C30" s="8" t="s">
        <v>812</v>
      </c>
      <c r="D30" s="8" t="s">
        <v>813</v>
      </c>
    </row>
    <row r="31" spans="1:4" x14ac:dyDescent="0.3">
      <c r="A31" s="3" t="s">
        <v>54</v>
      </c>
      <c r="B31" s="3" t="s">
        <v>814</v>
      </c>
      <c r="C31" s="3" t="s">
        <v>815</v>
      </c>
      <c r="D31" s="3" t="s">
        <v>816</v>
      </c>
    </row>
    <row r="32" spans="1:4" x14ac:dyDescent="0.3">
      <c r="A32" s="8" t="s">
        <v>54</v>
      </c>
      <c r="B32" s="8" t="s">
        <v>817</v>
      </c>
      <c r="C32" s="8" t="s">
        <v>818</v>
      </c>
      <c r="D32" s="8" t="s">
        <v>819</v>
      </c>
    </row>
    <row r="33" spans="1:4" x14ac:dyDescent="0.3">
      <c r="A33" s="3" t="s">
        <v>54</v>
      </c>
      <c r="B33" s="3" t="s">
        <v>820</v>
      </c>
      <c r="C33" s="3" t="s">
        <v>821</v>
      </c>
      <c r="D33" s="3" t="s">
        <v>822</v>
      </c>
    </row>
    <row r="34" spans="1:4" x14ac:dyDescent="0.3">
      <c r="A34" s="8" t="s">
        <v>54</v>
      </c>
      <c r="B34" s="8" t="s">
        <v>823</v>
      </c>
      <c r="C34" s="8" t="s">
        <v>824</v>
      </c>
      <c r="D34" s="8" t="s">
        <v>825</v>
      </c>
    </row>
    <row r="35" spans="1:4" x14ac:dyDescent="0.3">
      <c r="A35" s="3" t="s">
        <v>54</v>
      </c>
      <c r="B35" s="3" t="s">
        <v>826</v>
      </c>
      <c r="C35" s="3" t="s">
        <v>827</v>
      </c>
      <c r="D35" s="3" t="s">
        <v>828</v>
      </c>
    </row>
    <row r="36" spans="1:4" x14ac:dyDescent="0.3">
      <c r="A36" s="8" t="s">
        <v>54</v>
      </c>
      <c r="B36" s="8" t="s">
        <v>829</v>
      </c>
      <c r="C36" s="8" t="s">
        <v>830</v>
      </c>
      <c r="D36" s="8" t="s">
        <v>831</v>
      </c>
    </row>
    <row r="37" spans="1:4" ht="30.7" x14ac:dyDescent="0.3">
      <c r="A37" s="3" t="s">
        <v>54</v>
      </c>
      <c r="B37" s="3" t="s">
        <v>832</v>
      </c>
      <c r="C37" s="3" t="s">
        <v>833</v>
      </c>
      <c r="D37" s="3" t="s">
        <v>834</v>
      </c>
    </row>
    <row r="38" spans="1:4" x14ac:dyDescent="0.3">
      <c r="A38" s="8" t="s">
        <v>54</v>
      </c>
      <c r="B38" s="8" t="s">
        <v>835</v>
      </c>
      <c r="C38" s="8" t="s">
        <v>836</v>
      </c>
      <c r="D38" s="8" t="s">
        <v>837</v>
      </c>
    </row>
    <row r="39" spans="1:4" x14ac:dyDescent="0.3">
      <c r="A39" s="3" t="s">
        <v>54</v>
      </c>
      <c r="B39" s="3" t="s">
        <v>838</v>
      </c>
      <c r="C39" s="3" t="s">
        <v>737</v>
      </c>
      <c r="D39" s="3" t="s">
        <v>738</v>
      </c>
    </row>
    <row r="40" spans="1:4" x14ac:dyDescent="0.3">
      <c r="A40" s="8" t="s">
        <v>54</v>
      </c>
      <c r="B40" s="8" t="s">
        <v>839</v>
      </c>
      <c r="C40" s="8" t="s">
        <v>840</v>
      </c>
      <c r="D40" s="8" t="s">
        <v>841</v>
      </c>
    </row>
    <row r="41" spans="1:4" ht="30.7" x14ac:dyDescent="0.3">
      <c r="A41" s="3" t="s">
        <v>54</v>
      </c>
      <c r="B41" s="3" t="s">
        <v>842</v>
      </c>
      <c r="C41" s="3" t="s">
        <v>843</v>
      </c>
      <c r="D41" s="3" t="s">
        <v>844</v>
      </c>
    </row>
    <row r="42" spans="1:4" x14ac:dyDescent="0.3">
      <c r="A42" s="8" t="s">
        <v>54</v>
      </c>
      <c r="B42" s="8" t="s">
        <v>845</v>
      </c>
      <c r="C42" s="8" t="s">
        <v>846</v>
      </c>
      <c r="D42" s="8" t="s">
        <v>521</v>
      </c>
    </row>
    <row r="43" spans="1:4" x14ac:dyDescent="0.3">
      <c r="A43" s="3" t="s">
        <v>54</v>
      </c>
      <c r="B43" s="3" t="s">
        <v>847</v>
      </c>
      <c r="C43" s="3" t="s">
        <v>848</v>
      </c>
      <c r="D43" s="3" t="s">
        <v>849</v>
      </c>
    </row>
    <row r="44" spans="1:4" ht="30.7" x14ac:dyDescent="0.3">
      <c r="A44" s="8" t="s">
        <v>54</v>
      </c>
      <c r="B44" s="8" t="s">
        <v>850</v>
      </c>
      <c r="C44" s="8" t="s">
        <v>851</v>
      </c>
      <c r="D44" s="8" t="s">
        <v>585</v>
      </c>
    </row>
    <row r="45" spans="1:4" x14ac:dyDescent="0.3">
      <c r="A45" s="3" t="s">
        <v>66</v>
      </c>
      <c r="B45" s="3" t="s">
        <v>852</v>
      </c>
      <c r="C45" s="3" t="s">
        <v>853</v>
      </c>
      <c r="D45" s="3" t="s">
        <v>854</v>
      </c>
    </row>
    <row r="46" spans="1:4" x14ac:dyDescent="0.3">
      <c r="A46" s="8" t="s">
        <v>66</v>
      </c>
      <c r="B46" s="8" t="s">
        <v>855</v>
      </c>
      <c r="C46" s="8" t="s">
        <v>856</v>
      </c>
      <c r="D46" s="8" t="s">
        <v>857</v>
      </c>
    </row>
    <row r="47" spans="1:4" x14ac:dyDescent="0.3">
      <c r="A47" s="3" t="s">
        <v>66</v>
      </c>
      <c r="B47" s="3" t="s">
        <v>858</v>
      </c>
      <c r="C47" s="3" t="s">
        <v>859</v>
      </c>
      <c r="D47" s="3" t="s">
        <v>710</v>
      </c>
    </row>
    <row r="48" spans="1:4" x14ac:dyDescent="0.3">
      <c r="A48" s="8" t="s">
        <v>66</v>
      </c>
      <c r="B48" s="8" t="s">
        <v>860</v>
      </c>
      <c r="C48" s="8" t="s">
        <v>861</v>
      </c>
      <c r="D48" s="8" t="s">
        <v>822</v>
      </c>
    </row>
    <row r="49" spans="1:4" x14ac:dyDescent="0.3">
      <c r="A49" s="3" t="s">
        <v>66</v>
      </c>
      <c r="B49" s="3" t="s">
        <v>862</v>
      </c>
      <c r="C49" s="3" t="s">
        <v>863</v>
      </c>
      <c r="D49" s="3" t="s">
        <v>864</v>
      </c>
    </row>
    <row r="50" spans="1:4" x14ac:dyDescent="0.3">
      <c r="A50" s="8" t="s">
        <v>66</v>
      </c>
      <c r="B50" s="8" t="s">
        <v>865</v>
      </c>
      <c r="C50" s="8" t="s">
        <v>866</v>
      </c>
      <c r="D50" s="8" t="s">
        <v>867</v>
      </c>
    </row>
    <row r="51" spans="1:4" x14ac:dyDescent="0.3">
      <c r="A51" s="3" t="s">
        <v>66</v>
      </c>
      <c r="B51" s="3" t="s">
        <v>868</v>
      </c>
      <c r="C51" s="3" t="s">
        <v>869</v>
      </c>
      <c r="D51" s="3" t="s">
        <v>870</v>
      </c>
    </row>
    <row r="52" spans="1:4" x14ac:dyDescent="0.3">
      <c r="A52" s="8" t="s">
        <v>66</v>
      </c>
      <c r="B52" s="8" t="s">
        <v>871</v>
      </c>
      <c r="C52" s="8" t="s">
        <v>872</v>
      </c>
      <c r="D52" s="8" t="s">
        <v>873</v>
      </c>
    </row>
    <row r="53" spans="1:4" x14ac:dyDescent="0.3">
      <c r="A53" s="3" t="s">
        <v>66</v>
      </c>
      <c r="B53" s="3" t="s">
        <v>874</v>
      </c>
      <c r="C53" s="3" t="s">
        <v>875</v>
      </c>
      <c r="D53" s="3" t="s">
        <v>831</v>
      </c>
    </row>
    <row r="54" spans="1:4" x14ac:dyDescent="0.3">
      <c r="A54" s="8" t="s">
        <v>66</v>
      </c>
      <c r="B54" s="8" t="s">
        <v>876</v>
      </c>
      <c r="C54" s="8" t="s">
        <v>877</v>
      </c>
      <c r="D54" s="8" t="s">
        <v>878</v>
      </c>
    </row>
    <row r="55" spans="1:4" x14ac:dyDescent="0.3">
      <c r="A55" s="3" t="s">
        <v>79</v>
      </c>
      <c r="B55" s="3" t="s">
        <v>879</v>
      </c>
      <c r="C55" s="3" t="s">
        <v>880</v>
      </c>
      <c r="D55" s="3" t="s">
        <v>219</v>
      </c>
    </row>
    <row r="56" spans="1:4" x14ac:dyDescent="0.3">
      <c r="A56" s="8" t="s">
        <v>79</v>
      </c>
      <c r="B56" s="8" t="s">
        <v>881</v>
      </c>
      <c r="C56" s="8" t="s">
        <v>882</v>
      </c>
      <c r="D56" s="8" t="s">
        <v>223</v>
      </c>
    </row>
    <row r="57" spans="1:4" x14ac:dyDescent="0.3">
      <c r="A57" s="3" t="s">
        <v>79</v>
      </c>
      <c r="B57" s="3" t="s">
        <v>883</v>
      </c>
      <c r="C57" s="3" t="s">
        <v>884</v>
      </c>
      <c r="D57" s="3" t="s">
        <v>885</v>
      </c>
    </row>
    <row r="58" spans="1:4" x14ac:dyDescent="0.3">
      <c r="A58" s="8" t="s">
        <v>79</v>
      </c>
      <c r="B58" s="8" t="s">
        <v>886</v>
      </c>
      <c r="C58" s="8" t="s">
        <v>887</v>
      </c>
      <c r="D58" s="8" t="s">
        <v>888</v>
      </c>
    </row>
    <row r="59" spans="1:4" x14ac:dyDescent="0.3">
      <c r="A59" s="3" t="s">
        <v>79</v>
      </c>
      <c r="B59" s="3" t="s">
        <v>889</v>
      </c>
      <c r="C59" s="3" t="s">
        <v>890</v>
      </c>
      <c r="D59" s="3" t="s">
        <v>891</v>
      </c>
    </row>
    <row r="60" spans="1:4" x14ac:dyDescent="0.3">
      <c r="A60" s="8" t="s">
        <v>79</v>
      </c>
      <c r="B60" s="8" t="s">
        <v>892</v>
      </c>
      <c r="C60" s="8" t="s">
        <v>893</v>
      </c>
      <c r="D60" s="8" t="s">
        <v>894</v>
      </c>
    </row>
    <row r="61" spans="1:4" x14ac:dyDescent="0.3">
      <c r="A61" s="3" t="s">
        <v>79</v>
      </c>
      <c r="B61" s="3" t="s">
        <v>895</v>
      </c>
      <c r="C61" s="3" t="s">
        <v>896</v>
      </c>
      <c r="D61" s="3" t="s">
        <v>297</v>
      </c>
    </row>
    <row r="62" spans="1:4" x14ac:dyDescent="0.3">
      <c r="A62" s="8" t="s">
        <v>79</v>
      </c>
      <c r="B62" s="8" t="s">
        <v>897</v>
      </c>
      <c r="C62" s="8" t="s">
        <v>818</v>
      </c>
      <c r="D62" s="8" t="s">
        <v>898</v>
      </c>
    </row>
    <row r="63" spans="1:4" x14ac:dyDescent="0.3">
      <c r="A63" s="3" t="s">
        <v>899</v>
      </c>
      <c r="B63" s="3" t="s">
        <v>900</v>
      </c>
      <c r="C63" s="3" t="s">
        <v>901</v>
      </c>
      <c r="D63" s="3" t="s">
        <v>902</v>
      </c>
    </row>
    <row r="64" spans="1:4" x14ac:dyDescent="0.3">
      <c r="A64" s="8" t="s">
        <v>899</v>
      </c>
      <c r="B64" s="8" t="s">
        <v>903</v>
      </c>
      <c r="C64" s="8" t="s">
        <v>904</v>
      </c>
      <c r="D64" s="8" t="s">
        <v>905</v>
      </c>
    </row>
    <row r="65" spans="1:4" x14ac:dyDescent="0.3">
      <c r="A65" s="3" t="s">
        <v>899</v>
      </c>
      <c r="B65" s="3" t="s">
        <v>906</v>
      </c>
      <c r="C65" s="3" t="s">
        <v>907</v>
      </c>
      <c r="D65" s="3" t="s">
        <v>908</v>
      </c>
    </row>
    <row r="66" spans="1:4" x14ac:dyDescent="0.3">
      <c r="A66" s="8" t="s">
        <v>899</v>
      </c>
      <c r="B66" s="8" t="s">
        <v>909</v>
      </c>
      <c r="C66" s="8" t="s">
        <v>910</v>
      </c>
      <c r="D66" s="8" t="s">
        <v>911</v>
      </c>
    </row>
    <row r="67" spans="1:4" x14ac:dyDescent="0.3">
      <c r="A67" s="3" t="s">
        <v>899</v>
      </c>
      <c r="B67" s="3" t="s">
        <v>912</v>
      </c>
      <c r="C67" s="3" t="s">
        <v>913</v>
      </c>
      <c r="D67" s="3" t="s">
        <v>914</v>
      </c>
    </row>
    <row r="68" spans="1:4" x14ac:dyDescent="0.3">
      <c r="A68" s="8" t="s">
        <v>899</v>
      </c>
      <c r="B68" s="8" t="s">
        <v>915</v>
      </c>
      <c r="C68" s="8" t="s">
        <v>916</v>
      </c>
      <c r="D68" s="8" t="s">
        <v>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selection sqref="A1:C1"/>
    </sheetView>
  </sheetViews>
  <sheetFormatPr defaultRowHeight="15.35" x14ac:dyDescent="0.3"/>
  <cols>
    <col min="1" max="1" width="25" customWidth="1"/>
    <col min="2" max="2" width="15" customWidth="1"/>
    <col min="3" max="3" width="40" customWidth="1"/>
  </cols>
  <sheetData>
    <row r="1" spans="1:3" ht="18.7" x14ac:dyDescent="0.35">
      <c r="A1" s="19" t="s">
        <v>918</v>
      </c>
      <c r="B1" s="17"/>
      <c r="C1" s="17"/>
    </row>
    <row r="3" spans="1:3" x14ac:dyDescent="0.3">
      <c r="A3" s="9" t="s">
        <v>3</v>
      </c>
      <c r="B3" s="9" t="s">
        <v>919</v>
      </c>
      <c r="C3" s="9" t="s">
        <v>920</v>
      </c>
    </row>
    <row r="4" spans="1:3" x14ac:dyDescent="0.3">
      <c r="A4" s="10" t="s">
        <v>7</v>
      </c>
      <c r="B4" s="10">
        <v>16</v>
      </c>
      <c r="C4" s="10" t="s">
        <v>921</v>
      </c>
    </row>
    <row r="5" spans="1:3" x14ac:dyDescent="0.3">
      <c r="A5" s="10" t="s">
        <v>11</v>
      </c>
      <c r="B5" s="10">
        <v>19</v>
      </c>
      <c r="C5" s="10" t="s">
        <v>922</v>
      </c>
    </row>
    <row r="6" spans="1:3" x14ac:dyDescent="0.3">
      <c r="A6" s="10" t="s">
        <v>15</v>
      </c>
      <c r="B6" s="10">
        <v>56</v>
      </c>
      <c r="C6" s="10" t="s">
        <v>923</v>
      </c>
    </row>
    <row r="7" spans="1:3" x14ac:dyDescent="0.3">
      <c r="A7" s="10" t="s">
        <v>19</v>
      </c>
      <c r="B7" s="10">
        <v>6</v>
      </c>
      <c r="C7" s="10" t="s">
        <v>924</v>
      </c>
    </row>
    <row r="8" spans="1:3" x14ac:dyDescent="0.3">
      <c r="A8" s="10" t="s">
        <v>23</v>
      </c>
      <c r="B8" s="10">
        <v>0</v>
      </c>
      <c r="C8" s="10"/>
    </row>
    <row r="9" spans="1:3" x14ac:dyDescent="0.3">
      <c r="A9" s="10" t="s">
        <v>925</v>
      </c>
      <c r="B9" s="10">
        <v>1</v>
      </c>
      <c r="C9" s="10" t="s">
        <v>926</v>
      </c>
    </row>
    <row r="10" spans="1:3" x14ac:dyDescent="0.3">
      <c r="A10" s="10" t="s">
        <v>30</v>
      </c>
      <c r="B10" s="10">
        <v>5</v>
      </c>
      <c r="C10" s="10" t="s">
        <v>927</v>
      </c>
    </row>
    <row r="11" spans="1:3" x14ac:dyDescent="0.3">
      <c r="A11" s="10" t="s">
        <v>34</v>
      </c>
      <c r="B11" s="10">
        <v>7</v>
      </c>
      <c r="C11" s="10" t="s">
        <v>928</v>
      </c>
    </row>
    <row r="12" spans="1:3" x14ac:dyDescent="0.3">
      <c r="A12" s="10" t="s">
        <v>38</v>
      </c>
      <c r="B12" s="10">
        <v>19</v>
      </c>
      <c r="C12" s="10" t="s">
        <v>922</v>
      </c>
    </row>
    <row r="13" spans="1:3" x14ac:dyDescent="0.3">
      <c r="A13" s="10" t="s">
        <v>42</v>
      </c>
      <c r="B13" s="10">
        <v>3</v>
      </c>
      <c r="C13" s="10" t="s">
        <v>929</v>
      </c>
    </row>
    <row r="14" spans="1:3" x14ac:dyDescent="0.3">
      <c r="A14" s="10" t="s">
        <v>930</v>
      </c>
      <c r="B14" s="10">
        <v>5</v>
      </c>
      <c r="C14" s="10" t="s">
        <v>927</v>
      </c>
    </row>
    <row r="15" spans="1:3" x14ac:dyDescent="0.3">
      <c r="A15" s="10"/>
      <c r="B15" s="10"/>
      <c r="C15" s="10"/>
    </row>
    <row r="16" spans="1:3" x14ac:dyDescent="0.3">
      <c r="A16" s="11" t="s">
        <v>931</v>
      </c>
      <c r="B16" s="11">
        <v>137</v>
      </c>
      <c r="C16" s="11" t="s">
        <v>932</v>
      </c>
    </row>
    <row r="20" spans="1:2" ht="16" x14ac:dyDescent="0.3">
      <c r="A20" s="1" t="s">
        <v>933</v>
      </c>
    </row>
    <row r="22" spans="1:2" x14ac:dyDescent="0.3">
      <c r="A22" s="9" t="s">
        <v>97</v>
      </c>
      <c r="B22" s="9" t="s">
        <v>934</v>
      </c>
    </row>
    <row r="23" spans="1:2" x14ac:dyDescent="0.3">
      <c r="A23" s="10" t="s">
        <v>900</v>
      </c>
      <c r="B23" s="10">
        <v>38</v>
      </c>
    </row>
    <row r="24" spans="1:2" x14ac:dyDescent="0.3">
      <c r="A24" s="10" t="s">
        <v>903</v>
      </c>
      <c r="B24" s="10">
        <v>25</v>
      </c>
    </row>
    <row r="25" spans="1:2" x14ac:dyDescent="0.3">
      <c r="A25" s="10" t="s">
        <v>906</v>
      </c>
      <c r="B25" s="10">
        <v>52</v>
      </c>
    </row>
    <row r="26" spans="1:2" x14ac:dyDescent="0.3">
      <c r="A26" s="10" t="s">
        <v>909</v>
      </c>
      <c r="B26" s="10">
        <v>12</v>
      </c>
    </row>
    <row r="27" spans="1:2" x14ac:dyDescent="0.3">
      <c r="A27" s="10" t="s">
        <v>912</v>
      </c>
      <c r="B27" s="10">
        <v>18</v>
      </c>
    </row>
    <row r="28" spans="1:2" x14ac:dyDescent="0.3">
      <c r="A28" s="10" t="s">
        <v>915</v>
      </c>
      <c r="B28" s="10">
        <v>10</v>
      </c>
    </row>
    <row r="32" spans="1:2" ht="16" x14ac:dyDescent="0.3">
      <c r="A32" s="1" t="s">
        <v>935</v>
      </c>
    </row>
    <row r="34" spans="1:3" x14ac:dyDescent="0.3">
      <c r="A34" s="9" t="s">
        <v>936</v>
      </c>
      <c r="B34" s="9" t="s">
        <v>934</v>
      </c>
      <c r="C34" s="9" t="s">
        <v>937</v>
      </c>
    </row>
    <row r="35" spans="1:3" x14ac:dyDescent="0.3">
      <c r="A35" s="12" t="s">
        <v>148</v>
      </c>
      <c r="B35" s="10">
        <v>98</v>
      </c>
      <c r="C35" s="10" t="s">
        <v>938</v>
      </c>
    </row>
    <row r="36" spans="1:3" x14ac:dyDescent="0.3">
      <c r="A36" s="13" t="s">
        <v>168</v>
      </c>
      <c r="B36" s="10">
        <v>34</v>
      </c>
      <c r="C36" s="10" t="s">
        <v>939</v>
      </c>
    </row>
    <row r="37" spans="1:3" x14ac:dyDescent="0.3">
      <c r="A37" s="14" t="s">
        <v>940</v>
      </c>
      <c r="B37" s="10">
        <v>5</v>
      </c>
      <c r="C37" s="10" t="s">
        <v>941</v>
      </c>
    </row>
  </sheetData>
  <mergeCells count="1">
    <mergeCell ref="A1:C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LEGENDA</vt:lpstr>
      <vt:lpstr>MAPPA COMPLETAMENTO</vt:lpstr>
      <vt:lpstr>INDICE DOCUMENTALE</vt:lpstr>
      <vt:lpstr>MAPPATURA FONTI</vt:lpstr>
      <vt:lpstr>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Iannetti</cp:lastModifiedBy>
  <dcterms:created xsi:type="dcterms:W3CDTF">2026-01-16T15:13:09Z</dcterms:created>
  <dcterms:modified xsi:type="dcterms:W3CDTF">2026-01-28T09:47:03Z</dcterms:modified>
</cp:coreProperties>
</file>